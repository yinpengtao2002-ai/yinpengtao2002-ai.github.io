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d8c12264814f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车型损益表" sheetId="1" r:id="R1e537fb93b9b47f6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#,##0.0"/>
  </numFmts>
  <fonts count="49">
    <font>
      <sz val="12"/>
      <color theme="1"/>
      <name val="等线"/>
      <family val="2"/>
      <scheme val="minor"/>
    </font>
    <font>
      <b/>
      <sz val="10"/>
      <color rgb="FF000000"/>
      <name val="等线"/>
      <family val="2"/>
      <scheme val="minor"/>
    </font>
    <font>
      <b/>
      <sz val="10"/>
      <color rgb="FF1F2329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1F2329"/>
      <name val="等线"/>
      <family val="2"/>
      <scheme val="minor"/>
    </font>
    <font>
      <sz val="10"/>
      <color rgb="FFF54A45"/>
      <name val="等线"/>
      <family val="2"/>
      <scheme val="minor"/>
    </font>
    <font>
      <i/>
      <sz val="10"/>
      <color rgb="FF8F959E"/>
      <name val="等线"/>
      <family val="2"/>
      <scheme val="minor"/>
    </font>
    <font>
      <sz val="10"/>
      <color rgb="FF000000"/>
      <name val="等线"/>
      <family val="2"/>
      <scheme val="minor"/>
    </font>
    <font>
      <i/>
      <sz val="10"/>
      <color rgb="FFF54A45"/>
      <name val="等线"/>
      <family val="2"/>
      <scheme val="minor"/>
    </font>
    <font>
      <i/>
      <sz val="10"/>
      <color rgb="FF000000"/>
      <name val="等线"/>
      <family val="2"/>
      <scheme val="minor"/>
    </font>
    <font>
      <b/>
      <sz val="10"/>
      <color rgb="FFF54A45"/>
      <name val="等线"/>
      <family val="2"/>
      <scheme val="minor"/>
    </font>
    <font>
      <b/>
      <strike/>
      <sz val="10"/>
      <color rgb="FFF54A45"/>
      <name val="等线"/>
      <family val="2"/>
      <scheme val="minor"/>
    </font>
    <font>
      <strike/>
      <sz val="10"/>
      <color rgb="FFF54A45"/>
      <name val="等线"/>
      <family val="2"/>
      <scheme val="minor"/>
    </font>
    <font>
      <strike/>
      <sz val="10"/>
      <color rgb="FF000000"/>
      <name val="等线"/>
      <family val="2"/>
      <scheme val="minor"/>
    </font>
    <font>
      <strike/>
      <sz val="10"/>
      <color rgb="FF000000"/>
      <name val="等线"/>
      <family val="2"/>
      <scheme val="minor"/>
    </font>
    <font>
      <b/>
      <sz val="12"/>
      <color rgb="FF000000"/>
      <name val="等线"/>
      <family val="2"/>
      <scheme val="minor"/>
    </font>
    <font>
      <b/>
      <i/>
      <sz val="10"/>
      <color rgb="FF8F959E"/>
      <name val="等线"/>
      <family val="2"/>
      <scheme val="minor"/>
    </font>
    <font>
      <sz val="10"/>
      <color rgb="FF8F959E"/>
      <name val="等线"/>
      <family val="2"/>
      <scheme val="minor"/>
    </font>
    <font>
      <b/>
      <i/>
      <sz val="10"/>
      <color rgb="FF000000"/>
      <name val="等线"/>
      <family val="2"/>
      <scheme val="minor"/>
    </font>
    <font>
      <i/>
      <sz val="10"/>
      <color rgb="FF1F2329"/>
      <name val="等线"/>
      <family val="2"/>
      <scheme val="minor"/>
    </font>
    <font>
      <b/>
      <sz val="12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b/>
      <sz val="11"/>
      <color rgb="FF000000"/>
      <name val="等线"/>
      <family val="2"/>
      <scheme val="minor"/>
    </font>
    <font>
      <b/>
      <sz val="10"/>
      <color rgb="FF000000"/>
      <name val="等线"/>
      <family val="2"/>
      <scheme val="minor"/>
    </font>
    <font>
      <sz val="12"/>
      <color rgb="FF000000"/>
      <name val="等线"/>
      <family val="2"/>
      <scheme val="minor"/>
    </font>
    <font>
      <sz val="10"/>
      <color rgb="FF373C43"/>
      <name val="等线"/>
      <family val="2"/>
      <scheme val="minor"/>
    </font>
    <font>
      <i/>
      <sz val="10"/>
      <color rgb="FF000000"/>
      <name val="等线"/>
      <family val="2"/>
      <scheme val="minor"/>
    </font>
    <font>
      <i/>
      <sz val="10"/>
      <color rgb="FF373C43"/>
      <name val="等线"/>
      <family val="2"/>
      <scheme val="minor"/>
    </font>
    <font>
      <b/>
      <sz val="10"/>
      <color rgb="FF373C43"/>
      <name val="等线"/>
      <family val="2"/>
      <scheme val="minor"/>
    </font>
    <font>
      <sz val="11"/>
      <color rgb="FF000000"/>
      <name val="DengXian"/>
      <family val="2"/>
    </font>
    <font>
      <sz val="12"/>
      <color rgb="FF000000"/>
      <name val="等线"/>
      <family val="2"/>
      <scheme val="minor"/>
    </font>
    <font>
      <sz val="10"/>
      <color rgb="FF000000"/>
      <name val="等线"/>
      <charset val="134"/>
    </font>
    <font>
      <sz val="10"/>
      <color rgb="FFF54A45"/>
      <name val="等线"/>
      <charset val="134"/>
    </font>
    <font>
      <b/>
      <sz val="10"/>
      <color rgb="FF000000"/>
      <name val="等线"/>
      <charset val="134"/>
    </font>
    <font>
      <sz val="10"/>
      <color rgb="FF1F2329"/>
      <name val="等线"/>
      <charset val="134"/>
    </font>
    <font>
      <b/>
      <sz val="10"/>
      <name val="等线"/>
      <charset val="134"/>
    </font>
    <font>
      <sz val="10"/>
      <name val="等线"/>
      <charset val="134"/>
    </font>
    <font>
      <sz val="9"/>
      <name val="等线"/>
      <family val="3"/>
      <charset val="134"/>
      <scheme val="minor"/>
    </font>
    <font>
      <i/>
      <sz val="10"/>
      <color theme="1"/>
      <name val="等线"/>
      <family val="2"/>
      <scheme val="minor"/>
    </font>
    <font>
      <i/>
      <sz val="10"/>
      <name val="等线"/>
      <family val="2"/>
      <scheme val="minor"/>
    </font>
    <font>
      <b/>
      <sz val="10"/>
      <color rgb="FFFF0000"/>
      <name val="等线"/>
      <family val="2"/>
      <scheme val="minor"/>
    </font>
    <font>
      <i/>
      <sz val="10"/>
      <color rgb="FFFF0000"/>
      <name val="等线"/>
      <family val="2"/>
      <scheme val="minor"/>
    </font>
    <font>
      <sz val="10"/>
      <color rgb="FFFF0000"/>
      <name val="等线"/>
      <family val="2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7EDAFB"/>
      </patternFill>
    </fill>
    <fill>
      <patternFill patternType="solid">
        <fgColor rgb="FFFFF258"/>
      </patternFill>
    </fill>
    <fill>
      <patternFill patternType="solid">
        <fgColor rgb="FFFFFF00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DDEBF7"/>
      </patternFill>
    </fill>
    <fill>
      <patternFill patternType="solid">
        <fgColor rgb="FFFFF258"/>
      </patternFill>
    </fill>
    <fill>
      <patternFill patternType="solid">
        <fgColor rgb="FFE1EAFF"/>
      </patternFill>
    </fill>
    <fill>
      <patternFill patternType="solid">
        <fgColor rgb="FFFFF258"/>
      </patternFill>
    </fill>
    <fill>
      <patternFill patternType="solid">
        <fgColor rgb="FFFFFF00"/>
        <bgColor indexed="64"/>
      </patternFill>
    </fill>
  </fills>
  <borders count="14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1F2329"/>
      </left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 style="thin">
        <color rgb="FFFFFFFF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1F2329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1F2329"/>
      </top>
      <bottom style="thin">
        <color rgb="FFFFFFFF"/>
      </bottom>
      <diagonal/>
    </border>
    <border>
      <left style="thin">
        <color rgb="FFFFFFFF"/>
      </left>
      <right style="thin">
        <color rgb="FF1F2329"/>
      </right>
      <top style="thin">
        <color rgb="FF1F2329"/>
      </top>
      <bottom style="thin">
        <color rgb="FFFFFFFF"/>
      </bottom>
      <diagonal/>
    </border>
    <border>
      <left style="thin">
        <color rgb="FF1F2329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/>
      <right style="thin">
        <color rgb="FF1F2329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1F232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1F2329"/>
      </bottom>
      <diagonal/>
    </border>
    <border>
      <left style="thin">
        <color rgb="FF1F2329"/>
      </left>
      <right/>
      <top style="thin">
        <color rgb="FFFFFFFF"/>
      </top>
      <bottom style="thin">
        <color rgb="FF1F2329"/>
      </bottom>
      <diagonal/>
    </border>
    <border>
      <left style="thin">
        <color rgb="FFFFFFFF"/>
      </left>
      <right style="thin">
        <color rgb="FF1F2329"/>
      </right>
      <top style="thin">
        <color rgb="FFFFFFFF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</borders>
  <cellStyleXfs count="1">
    <xf numFmtId="0" fontId="0" fillId="0" borderId="0" applyNumberFormat="0" applyFont="0" applyFill="0" applyBorder="0" applyProtection="0"/>
  </cellStyleXfs>
  <cellXfs count="995"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3" fontId="3" fillId="0" borderId="1" xfId="0" applyNumberFormat="1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3" xfId="0" applyFont="1" applyBorder="1" applyAlignment="1">
      <alignment vertical="center" wrapText="1"/>
    </xf>
    <xf numFmtId="176" fontId="4" fillId="0" borderId="3" xfId="0" applyNumberFormat="1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10" fontId="4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0" fontId="4" fillId="0" borderId="1" xfId="0" applyNumberFormat="1" applyFont="1" applyBorder="1" applyAlignment="1">
      <alignment vertical="center"/>
    </xf>
    <xf numFmtId="10" fontId="3" fillId="0" borderId="1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8" xfId="0" applyFont="1" applyBorder="1" applyAlignment="1">
      <alignment vertical="center"/>
    </xf>
    <xf numFmtId="3" fontId="1" fillId="0" borderId="8" xfId="0" applyNumberFormat="1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9" fontId="3" fillId="0" borderId="8" xfId="0" applyNumberFormat="1" applyFont="1" applyBorder="1" applyAlignment="1">
      <alignment horizontal="center" vertical="center"/>
    </xf>
    <xf numFmtId="3" fontId="4" fillId="0" borderId="7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1" fillId="0" borderId="7" xfId="0" applyFont="1" applyBorder="1" applyAlignment="1">
      <alignment vertical="center" wrapText="1"/>
    </xf>
    <xf numFmtId="9" fontId="4" fillId="0" borderId="7" xfId="0" applyNumberFormat="1" applyFont="1" applyBorder="1" applyAlignment="1">
      <alignment horizontal="center" vertical="center"/>
    </xf>
    <xf numFmtId="176" fontId="4" fillId="0" borderId="7" xfId="0" applyNumberFormat="1" applyFont="1" applyBorder="1" applyAlignment="1">
      <alignment horizontal="center" vertical="center"/>
    </xf>
    <xf numFmtId="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vertical="center" wrapText="1"/>
    </xf>
    <xf numFmtId="3" fontId="1" fillId="0" borderId="8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vertical="center" wrapText="1"/>
    </xf>
    <xf numFmtId="3" fontId="3" fillId="0" borderId="8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3" fontId="3" fillId="0" borderId="7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7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3" fontId="5" fillId="0" borderId="7" xfId="0" applyNumberFormat="1" applyFont="1" applyBorder="1" applyAlignment="1">
      <alignment horizontal="center" vertical="center"/>
    </xf>
    <xf numFmtId="176" fontId="5" fillId="0" borderId="7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vertical="center"/>
    </xf>
    <xf numFmtId="3" fontId="10" fillId="0" borderId="8" xfId="0" applyNumberFormat="1" applyFont="1" applyBorder="1" applyAlignment="1">
      <alignment horizontal="center" vertical="center"/>
    </xf>
    <xf numFmtId="176" fontId="10" fillId="0" borderId="8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/>
    </xf>
    <xf numFmtId="3" fontId="12" fillId="0" borderId="7" xfId="0" applyNumberFormat="1" applyFont="1" applyBorder="1" applyAlignment="1">
      <alignment horizontal="center" vertical="center"/>
    </xf>
    <xf numFmtId="176" fontId="12" fillId="0" borderId="7" xfId="0" applyNumberFormat="1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3" fontId="11" fillId="0" borderId="8" xfId="0" applyNumberFormat="1" applyFont="1" applyBorder="1" applyAlignment="1">
      <alignment horizontal="center" vertical="center"/>
    </xf>
    <xf numFmtId="176" fontId="11" fillId="0" borderId="8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0" borderId="8" xfId="0" applyFont="1" applyBorder="1" applyAlignment="1">
      <alignment vertical="center"/>
    </xf>
    <xf numFmtId="3" fontId="3" fillId="0" borderId="8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9" xfId="0" applyFont="1" applyBorder="1" applyAlignment="1">
      <alignment vertical="center" wrapText="1"/>
    </xf>
    <xf numFmtId="176" fontId="4" fillId="0" borderId="9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3" fontId="1" fillId="0" borderId="12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3" fontId="1" fillId="0" borderId="12" xfId="0" applyNumberFormat="1" applyFont="1" applyBorder="1" applyAlignment="1">
      <alignment horizontal="center" vertical="center"/>
    </xf>
    <xf numFmtId="10" fontId="4" fillId="0" borderId="7" xfId="0" applyNumberFormat="1" applyFont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 vertical="center"/>
    </xf>
    <xf numFmtId="10" fontId="1" fillId="0" borderId="7" xfId="0" applyNumberFormat="1" applyFont="1" applyBorder="1" applyAlignment="1">
      <alignment vertical="center"/>
    </xf>
    <xf numFmtId="10" fontId="4" fillId="0" borderId="7" xfId="0" applyNumberFormat="1" applyFont="1" applyBorder="1" applyAlignment="1">
      <alignment vertical="center"/>
    </xf>
    <xf numFmtId="10" fontId="3" fillId="0" borderId="7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14" xfId="0" applyFont="1" applyBorder="1" applyAlignment="1">
      <alignment vertical="center"/>
    </xf>
    <xf numFmtId="3" fontId="1" fillId="0" borderId="14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6" fontId="1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 wrapText="1"/>
    </xf>
    <xf numFmtId="0" fontId="4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3" xfId="0" applyFont="1" applyBorder="1" applyAlignment="1">
      <alignment vertical="center" wrapText="1"/>
    </xf>
    <xf numFmtId="9" fontId="3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vertical="center" wrapText="1"/>
    </xf>
    <xf numFmtId="3" fontId="4" fillId="0" borderId="13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13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3" fontId="3" fillId="0" borderId="15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 wrapText="1"/>
    </xf>
    <xf numFmtId="9" fontId="4" fillId="0" borderId="13" xfId="0" applyNumberFormat="1" applyFont="1" applyBorder="1" applyAlignment="1">
      <alignment horizontal="center" vertical="center"/>
    </xf>
    <xf numFmtId="176" fontId="4" fillId="0" borderId="13" xfId="0" applyNumberFormat="1" applyFont="1" applyBorder="1" applyAlignment="1">
      <alignment horizontal="center" vertical="center"/>
    </xf>
    <xf numFmtId="9" fontId="3" fillId="0" borderId="13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3" fontId="3" fillId="0" borderId="18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vertical="center"/>
    </xf>
    <xf numFmtId="0" fontId="4" fillId="0" borderId="13" xfId="0" applyFont="1" applyBorder="1" applyAlignment="1">
      <alignment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 wrapText="1"/>
    </xf>
    <xf numFmtId="0" fontId="4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15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3" fontId="1" fillId="0" borderId="14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vertical="center"/>
    </xf>
    <xf numFmtId="0" fontId="9" fillId="0" borderId="13" xfId="0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6" fillId="0" borderId="13" xfId="0" applyFont="1" applyBorder="1" applyAlignment="1">
      <alignment horizontal="left" vertical="center" wrapText="1"/>
    </xf>
    <xf numFmtId="3" fontId="3" fillId="0" borderId="13" xfId="0" applyNumberFormat="1" applyFont="1" applyBorder="1" applyAlignment="1">
      <alignment horizontal="left" vertical="center"/>
    </xf>
    <xf numFmtId="0" fontId="3" fillId="0" borderId="22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3" fontId="3" fillId="0" borderId="15" xfId="0" applyNumberFormat="1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6" fillId="0" borderId="13" xfId="0" applyFont="1" applyBorder="1" applyAlignment="1">
      <alignment horizontal="left" vertical="center" wrapText="1"/>
    </xf>
    <xf numFmtId="3" fontId="3" fillId="0" borderId="15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16" xfId="0" applyFont="1" applyBorder="1" applyAlignment="1">
      <alignment vertical="center" wrapText="1"/>
    </xf>
    <xf numFmtId="3" fontId="3" fillId="0" borderId="14" xfId="0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 wrapText="1"/>
    </xf>
    <xf numFmtId="0" fontId="6" fillId="0" borderId="13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3" fontId="4" fillId="0" borderId="13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0" fontId="10" fillId="0" borderId="13" xfId="0" applyFont="1" applyBorder="1" applyAlignment="1">
      <alignment vertical="center" wrapText="1"/>
    </xf>
    <xf numFmtId="3" fontId="5" fillId="0" borderId="13" xfId="0" applyNumberFormat="1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3" fontId="10" fillId="0" borderId="14" xfId="0" applyNumberFormat="1" applyFont="1" applyBorder="1" applyAlignment="1">
      <alignment horizontal="center" vertical="center"/>
    </xf>
    <xf numFmtId="176" fontId="10" fillId="0" borderId="1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vertical="center"/>
    </xf>
    <xf numFmtId="3" fontId="3" fillId="0" borderId="14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3" fontId="5" fillId="0" borderId="15" xfId="0" applyNumberFormat="1" applyFont="1" applyBorder="1" applyAlignment="1">
      <alignment horizontal="left" vertical="center"/>
    </xf>
    <xf numFmtId="0" fontId="4" fillId="0" borderId="16" xfId="0" applyFont="1" applyBorder="1" applyAlignment="1">
      <alignment vertical="center"/>
    </xf>
    <xf numFmtId="3" fontId="4" fillId="0" borderId="1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" fillId="0" borderId="21" xfId="0" applyFont="1" applyBorder="1" applyAlignment="1">
      <alignment vertical="center" wrapText="1"/>
    </xf>
    <xf numFmtId="176" fontId="4" fillId="0" borderId="21" xfId="0" applyNumberFormat="1" applyFont="1" applyBorder="1" applyAlignment="1">
      <alignment horizontal="center" vertical="center"/>
    </xf>
    <xf numFmtId="3" fontId="4" fillId="0" borderId="21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3" fontId="1" fillId="0" borderId="17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3" fontId="1" fillId="0" borderId="17" xfId="0" applyNumberFormat="1" applyFont="1" applyBorder="1" applyAlignment="1">
      <alignment horizontal="center" vertical="center"/>
    </xf>
    <xf numFmtId="10" fontId="4" fillId="0" borderId="13" xfId="0" applyNumberFormat="1" applyFont="1" applyBorder="1" applyAlignment="1">
      <alignment horizontal="center" vertical="center"/>
    </xf>
    <xf numFmtId="10" fontId="3" fillId="0" borderId="13" xfId="0" applyNumberFormat="1" applyFont="1" applyBorder="1" applyAlignment="1">
      <alignment horizontal="center" vertical="center"/>
    </xf>
    <xf numFmtId="10" fontId="1" fillId="0" borderId="13" xfId="0" applyNumberFormat="1" applyFont="1" applyBorder="1" applyAlignment="1">
      <alignment vertical="center"/>
    </xf>
    <xf numFmtId="10" fontId="4" fillId="0" borderId="13" xfId="0" applyNumberFormat="1" applyFont="1" applyBorder="1" applyAlignment="1">
      <alignment vertical="center"/>
    </xf>
    <xf numFmtId="10" fontId="3" fillId="0" borderId="13" xfId="0" applyNumberFormat="1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vertical="center"/>
    </xf>
    <xf numFmtId="10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5" fillId="0" borderId="13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3" fillId="0" borderId="29" xfId="0" applyFont="1" applyBorder="1" applyAlignment="1">
      <alignment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15" fillId="0" borderId="34" xfId="0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 wrapText="1"/>
    </xf>
    <xf numFmtId="0" fontId="3" fillId="0" borderId="35" xfId="0" applyFont="1" applyBorder="1" applyAlignment="1">
      <alignment vertical="center" wrapText="1"/>
    </xf>
    <xf numFmtId="0" fontId="1" fillId="0" borderId="35" xfId="0" applyFont="1" applyBorder="1" applyAlignment="1">
      <alignment horizontal="center" vertical="center" wrapText="1"/>
    </xf>
    <xf numFmtId="0" fontId="3" fillId="0" borderId="32" xfId="0" applyFont="1" applyBorder="1" applyAlignment="1">
      <alignment vertical="center" wrapText="1"/>
    </xf>
    <xf numFmtId="9" fontId="3" fillId="0" borderId="32" xfId="0" applyNumberFormat="1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8" xfId="0" applyFont="1" applyBorder="1" applyAlignment="1">
      <alignment vertical="center" wrapText="1"/>
    </xf>
    <xf numFmtId="0" fontId="1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8" xfId="0" applyFont="1" applyBorder="1" applyAlignment="1">
      <alignment vertical="center" wrapText="1"/>
    </xf>
    <xf numFmtId="9" fontId="3" fillId="0" borderId="37" xfId="0" applyNumberFormat="1" applyFont="1" applyBorder="1" applyAlignment="1">
      <alignment vertical="center" wrapText="1"/>
    </xf>
    <xf numFmtId="3" fontId="3" fillId="0" borderId="40" xfId="0" applyNumberFormat="1" applyFont="1" applyBorder="1" applyAlignment="1">
      <alignment vertical="center" wrapText="1"/>
    </xf>
    <xf numFmtId="3" fontId="3" fillId="0" borderId="38" xfId="0" applyNumberFormat="1" applyFont="1" applyBorder="1" applyAlignment="1">
      <alignment vertical="center" wrapText="1"/>
    </xf>
    <xf numFmtId="3" fontId="3" fillId="0" borderId="38" xfId="0" applyNumberFormat="1" applyFont="1" applyBorder="1" applyAlignment="1">
      <alignment vertical="center" wrapText="1"/>
    </xf>
    <xf numFmtId="3" fontId="3" fillId="0" borderId="32" xfId="0" applyNumberFormat="1" applyFont="1" applyBorder="1" applyAlignment="1">
      <alignment vertical="center" wrapText="1"/>
    </xf>
    <xf numFmtId="3" fontId="3" fillId="0" borderId="41" xfId="0" applyNumberFormat="1" applyFont="1" applyBorder="1" applyAlignment="1">
      <alignment vertical="center" wrapText="1"/>
    </xf>
    <xf numFmtId="9" fontId="3" fillId="0" borderId="40" xfId="0" applyNumberFormat="1" applyFont="1" applyBorder="1" applyAlignment="1">
      <alignment vertical="center" wrapText="1"/>
    </xf>
    <xf numFmtId="176" fontId="3" fillId="0" borderId="32" xfId="0" applyNumberFormat="1" applyFont="1" applyBorder="1" applyAlignment="1">
      <alignment vertical="center" wrapText="1"/>
    </xf>
    <xf numFmtId="0" fontId="1" fillId="0" borderId="35" xfId="0" applyFont="1" applyBorder="1" applyAlignment="1">
      <alignment vertical="center" wrapText="1"/>
    </xf>
    <xf numFmtId="3" fontId="1" fillId="0" borderId="40" xfId="0" applyNumberFormat="1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1" fillId="0" borderId="32" xfId="0" applyFont="1" applyBorder="1" applyAlignment="1">
      <alignment vertical="center" wrapText="1"/>
    </xf>
    <xf numFmtId="3" fontId="1" fillId="0" borderId="32" xfId="0" applyNumberFormat="1" applyFont="1" applyBorder="1" applyAlignment="1">
      <alignment vertical="center" wrapText="1"/>
    </xf>
    <xf numFmtId="0" fontId="3" fillId="0" borderId="32" xfId="0" applyFont="1" applyBorder="1" applyAlignment="1">
      <alignment vertical="center" wrapText="1"/>
    </xf>
    <xf numFmtId="3" fontId="1" fillId="0" borderId="37" xfId="0" applyNumberFormat="1" applyFont="1" applyBorder="1" applyAlignment="1">
      <alignment vertical="center" wrapText="1"/>
    </xf>
    <xf numFmtId="3" fontId="3" fillId="0" borderId="42" xfId="0" applyNumberFormat="1" applyFont="1" applyBorder="1" applyAlignment="1">
      <alignment vertical="center" wrapText="1"/>
    </xf>
    <xf numFmtId="3" fontId="3" fillId="0" borderId="43" xfId="0" applyNumberFormat="1" applyFont="1" applyBorder="1" applyAlignment="1">
      <alignment vertical="center" wrapText="1"/>
    </xf>
    <xf numFmtId="3" fontId="3" fillId="0" borderId="44" xfId="0" applyNumberFormat="1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42" xfId="0" applyNumberFormat="1" applyFont="1" applyBorder="1" applyAlignment="1">
      <alignment vertical="center" wrapText="1"/>
    </xf>
    <xf numFmtId="3" fontId="6" fillId="0" borderId="38" xfId="0" applyNumberFormat="1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3" fontId="16" fillId="0" borderId="32" xfId="0" applyNumberFormat="1" applyFont="1" applyBorder="1" applyAlignment="1">
      <alignment vertical="center" wrapText="1"/>
    </xf>
    <xf numFmtId="3" fontId="1" fillId="0" borderId="38" xfId="0" applyNumberFormat="1" applyFont="1" applyBorder="1" applyAlignment="1">
      <alignment vertical="center" wrapText="1"/>
    </xf>
    <xf numFmtId="176" fontId="3" fillId="0" borderId="38" xfId="0" applyNumberFormat="1" applyFont="1" applyBorder="1" applyAlignment="1">
      <alignment vertical="center" wrapText="1"/>
    </xf>
    <xf numFmtId="3" fontId="1" fillId="0" borderId="45" xfId="0" applyNumberFormat="1" applyFont="1" applyBorder="1" applyAlignment="1">
      <alignment vertical="center" wrapText="1"/>
    </xf>
    <xf numFmtId="176" fontId="1" fillId="0" borderId="32" xfId="0" applyNumberFormat="1" applyFont="1" applyBorder="1" applyAlignment="1">
      <alignment vertical="center" wrapText="1"/>
    </xf>
    <xf numFmtId="176" fontId="3" fillId="0" borderId="41" xfId="0" applyNumberFormat="1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" fillId="0" borderId="35" xfId="0" applyFont="1" applyBorder="1" applyAlignment="1">
      <alignment horizontal="left" vertical="center" wrapText="1"/>
    </xf>
    <xf numFmtId="3" fontId="4" fillId="0" borderId="40" xfId="0" applyNumberFormat="1" applyFont="1" applyBorder="1" applyAlignment="1">
      <alignment vertical="center" wrapText="1"/>
    </xf>
    <xf numFmtId="3" fontId="4" fillId="0" borderId="32" xfId="0" applyNumberFormat="1" applyFont="1" applyBorder="1" applyAlignment="1">
      <alignment vertical="center" wrapText="1"/>
    </xf>
    <xf numFmtId="176" fontId="4" fillId="0" borderId="38" xfId="0" applyNumberFormat="1" applyFont="1" applyBorder="1" applyAlignment="1">
      <alignment vertical="center" wrapText="1"/>
    </xf>
    <xf numFmtId="3" fontId="4" fillId="0" borderId="38" xfId="0" applyNumberFormat="1" applyFont="1" applyBorder="1" applyAlignment="1">
      <alignment vertical="center" wrapText="1"/>
    </xf>
    <xf numFmtId="0" fontId="4" fillId="0" borderId="32" xfId="0" applyFont="1" applyBorder="1" applyAlignment="1">
      <alignment vertical="center" wrapText="1"/>
    </xf>
    <xf numFmtId="176" fontId="4" fillId="0" borderId="32" xfId="0" applyNumberFormat="1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9" fontId="4" fillId="0" borderId="32" xfId="0" applyNumberFormat="1" applyFont="1" applyBorder="1" applyAlignment="1">
      <alignment vertical="center" wrapText="1"/>
    </xf>
    <xf numFmtId="176" fontId="4" fillId="0" borderId="37" xfId="0" applyNumberFormat="1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0" xfId="0" applyNumberFormat="1" applyFont="1" applyAlignment="1">
      <alignment vertical="center"/>
    </xf>
    <xf numFmtId="176" fontId="6" fillId="0" borderId="32" xfId="0" applyNumberFormat="1" applyFont="1" applyBorder="1" applyAlignment="1">
      <alignment vertical="center" wrapText="1"/>
    </xf>
    <xf numFmtId="3" fontId="6" fillId="0" borderId="32" xfId="0" applyNumberFormat="1" applyFont="1" applyBorder="1" applyAlignment="1">
      <alignment vertical="center" wrapText="1"/>
    </xf>
    <xf numFmtId="176" fontId="3" fillId="0" borderId="37" xfId="0" applyNumberFormat="1" applyFont="1" applyBorder="1" applyAlignment="1">
      <alignment vertical="center" wrapText="1"/>
    </xf>
    <xf numFmtId="0" fontId="8" fillId="0" borderId="35" xfId="0" applyFont="1" applyBorder="1" applyAlignment="1">
      <alignment horizontal="left" vertical="center" wrapText="1"/>
    </xf>
    <xf numFmtId="3" fontId="6" fillId="0" borderId="32" xfId="0" applyNumberFormat="1" applyFont="1" applyBorder="1" applyAlignment="1">
      <alignment vertical="center" wrapText="1"/>
    </xf>
    <xf numFmtId="0" fontId="6" fillId="0" borderId="28" xfId="0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9" fontId="6" fillId="0" borderId="32" xfId="0" applyNumberFormat="1" applyFont="1" applyBorder="1" applyAlignment="1">
      <alignment vertical="center" wrapText="1"/>
    </xf>
    <xf numFmtId="176" fontId="6" fillId="0" borderId="37" xfId="0" applyNumberFormat="1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40" xfId="0" applyNumberFormat="1" applyFont="1" applyBorder="1" applyAlignment="1">
      <alignment vertical="center" wrapText="1"/>
    </xf>
    <xf numFmtId="0" fontId="3" fillId="0" borderId="35" xfId="0" applyFont="1" applyBorder="1" applyAlignment="1">
      <alignment horizontal="left" vertical="center" wrapText="1"/>
    </xf>
    <xf numFmtId="0" fontId="6" fillId="0" borderId="28" xfId="0" applyFont="1" applyBorder="1" applyAlignment="1">
      <alignment vertical="center" wrapText="1"/>
    </xf>
    <xf numFmtId="0" fontId="6" fillId="0" borderId="35" xfId="0" applyFont="1" applyBorder="1" applyAlignment="1">
      <alignment horizontal="left" vertical="center" wrapText="1"/>
    </xf>
    <xf numFmtId="3" fontId="6" fillId="0" borderId="40" xfId="0" applyNumberFormat="1" applyFont="1" applyBorder="1" applyAlignment="1">
      <alignment vertical="center" wrapText="1"/>
    </xf>
    <xf numFmtId="3" fontId="6" fillId="0" borderId="32" xfId="0" applyNumberFormat="1" applyFont="1" applyBorder="1" applyAlignment="1">
      <alignment vertical="center" wrapText="1"/>
    </xf>
    <xf numFmtId="176" fontId="6" fillId="0" borderId="38" xfId="0" applyNumberFormat="1" applyFont="1" applyBorder="1" applyAlignment="1">
      <alignment vertical="center" wrapText="1"/>
    </xf>
    <xf numFmtId="3" fontId="6" fillId="0" borderId="38" xfId="0" applyNumberFormat="1" applyFont="1" applyBorder="1" applyAlignment="1">
      <alignment vertical="center" wrapText="1"/>
    </xf>
    <xf numFmtId="0" fontId="6" fillId="0" borderId="32" xfId="0" applyFont="1" applyBorder="1" applyAlignment="1">
      <alignment vertical="center" wrapText="1"/>
    </xf>
    <xf numFmtId="176" fontId="17" fillId="0" borderId="38" xfId="0" applyNumberFormat="1" applyFont="1" applyBorder="1" applyAlignment="1">
      <alignment vertical="center" wrapText="1"/>
    </xf>
    <xf numFmtId="176" fontId="6" fillId="0" borderId="32" xfId="0" applyNumberFormat="1" applyFont="1" applyBorder="1" applyAlignment="1">
      <alignment vertical="center" wrapText="1"/>
    </xf>
    <xf numFmtId="0" fontId="6" fillId="0" borderId="38" xfId="0" applyFont="1" applyBorder="1" applyAlignment="1">
      <alignment vertical="center" wrapText="1"/>
    </xf>
    <xf numFmtId="9" fontId="6" fillId="0" borderId="32" xfId="0" applyNumberFormat="1" applyFont="1" applyBorder="1" applyAlignment="1">
      <alignment vertical="center" wrapText="1"/>
    </xf>
    <xf numFmtId="176" fontId="6" fillId="0" borderId="37" xfId="0" applyNumberFormat="1" applyFont="1" applyBorder="1" applyAlignment="1">
      <alignment vertical="center" wrapText="1"/>
    </xf>
    <xf numFmtId="0" fontId="3" fillId="0" borderId="28" xfId="0" applyFont="1" applyBorder="1" applyAlignment="1">
      <alignment horizontal="right" vertical="center" wrapText="1"/>
    </xf>
    <xf numFmtId="0" fontId="3" fillId="0" borderId="35" xfId="0" applyFont="1" applyBorder="1" applyAlignment="1">
      <alignment horizontal="left" vertical="center" wrapText="1"/>
    </xf>
    <xf numFmtId="3" fontId="6" fillId="0" borderId="38" xfId="0" applyNumberFormat="1" applyFont="1" applyBorder="1" applyAlignment="1">
      <alignment vertical="center" wrapText="1"/>
    </xf>
    <xf numFmtId="3" fontId="17" fillId="0" borderId="32" xfId="0" applyNumberFormat="1" applyFont="1" applyBorder="1" applyAlignment="1">
      <alignment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35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left" vertical="center" wrapText="1"/>
    </xf>
    <xf numFmtId="0" fontId="3" fillId="0" borderId="35" xfId="0" applyFont="1" applyBorder="1" applyAlignment="1">
      <alignment vertical="center" wrapText="1"/>
    </xf>
    <xf numFmtId="0" fontId="2" fillId="0" borderId="28" xfId="0" applyFont="1" applyBorder="1" applyAlignment="1">
      <alignment vertical="center" wrapText="1"/>
    </xf>
    <xf numFmtId="3" fontId="2" fillId="0" borderId="40" xfId="0" applyNumberFormat="1" applyFont="1" applyBorder="1" applyAlignment="1">
      <alignment vertical="center" wrapText="1"/>
    </xf>
    <xf numFmtId="3" fontId="4" fillId="0" borderId="32" xfId="0" applyNumberFormat="1" applyFont="1" applyBorder="1" applyAlignment="1">
      <alignment vertical="center" wrapText="1"/>
    </xf>
    <xf numFmtId="3" fontId="2" fillId="0" borderId="32" xfId="0" applyNumberFormat="1" applyFont="1" applyBorder="1" applyAlignment="1">
      <alignment vertical="center" wrapText="1"/>
    </xf>
    <xf numFmtId="176" fontId="2" fillId="0" borderId="32" xfId="0" applyNumberFormat="1" applyFont="1" applyBorder="1" applyAlignment="1">
      <alignment vertical="center" wrapText="1"/>
    </xf>
    <xf numFmtId="176" fontId="2" fillId="0" borderId="37" xfId="0" applyNumberFormat="1" applyFont="1" applyBorder="1" applyAlignment="1">
      <alignment vertical="center" wrapText="1"/>
    </xf>
    <xf numFmtId="176" fontId="1" fillId="3" borderId="32" xfId="0" applyNumberFormat="1" applyFont="1" applyFill="1" applyBorder="1" applyAlignment="1">
      <alignment vertical="center" wrapText="1"/>
    </xf>
    <xf numFmtId="176" fontId="1" fillId="0" borderId="37" xfId="0" applyNumberFormat="1" applyFont="1" applyBorder="1" applyAlignment="1">
      <alignment vertical="center" wrapText="1"/>
    </xf>
    <xf numFmtId="0" fontId="8" fillId="0" borderId="35" xfId="0" applyFont="1" applyBorder="1" applyAlignment="1">
      <alignment vertical="center" wrapText="1"/>
    </xf>
    <xf numFmtId="0" fontId="6" fillId="0" borderId="35" xfId="0" applyFont="1" applyBorder="1" applyAlignment="1">
      <alignment vertical="center" wrapText="1"/>
    </xf>
    <xf numFmtId="0" fontId="18" fillId="0" borderId="28" xfId="0" applyFont="1" applyBorder="1" applyAlignment="1">
      <alignment vertical="center" wrapText="1"/>
    </xf>
    <xf numFmtId="0" fontId="9" fillId="0" borderId="35" xfId="0" applyFont="1" applyBorder="1" applyAlignment="1">
      <alignment vertical="center" wrapText="1"/>
    </xf>
    <xf numFmtId="3" fontId="9" fillId="0" borderId="40" xfId="0" applyNumberFormat="1" applyFont="1" applyBorder="1" applyAlignment="1">
      <alignment vertical="center" wrapText="1"/>
    </xf>
    <xf numFmtId="3" fontId="9" fillId="0" borderId="32" xfId="0" applyNumberFormat="1" applyFont="1" applyBorder="1" applyAlignment="1">
      <alignment vertical="center" wrapText="1"/>
    </xf>
    <xf numFmtId="176" fontId="9" fillId="0" borderId="32" xfId="0" applyNumberFormat="1" applyFont="1" applyBorder="1" applyAlignment="1">
      <alignment vertical="center" wrapText="1"/>
    </xf>
    <xf numFmtId="0" fontId="9" fillId="0" borderId="28" xfId="0" applyFont="1" applyBorder="1" applyAlignment="1">
      <alignment vertical="center" wrapText="1"/>
    </xf>
    <xf numFmtId="176" fontId="9" fillId="0" borderId="37" xfId="0" applyNumberFormat="1" applyFont="1" applyBorder="1" applyAlignment="1">
      <alignment vertical="center" wrapText="1"/>
    </xf>
    <xf numFmtId="0" fontId="6" fillId="0" borderId="46" xfId="0" applyFont="1" applyBorder="1" applyAlignment="1">
      <alignment vertical="center" wrapText="1"/>
    </xf>
    <xf numFmtId="176" fontId="19" fillId="0" borderId="38" xfId="0" applyNumberFormat="1" applyFont="1" applyBorder="1" applyAlignment="1">
      <alignment vertical="center" wrapText="1"/>
    </xf>
    <xf numFmtId="3" fontId="9" fillId="0" borderId="38" xfId="0" applyNumberFormat="1" applyFont="1" applyBorder="1" applyAlignment="1">
      <alignment vertical="center" wrapText="1"/>
    </xf>
    <xf numFmtId="3" fontId="4" fillId="0" borderId="44" xfId="0" applyNumberFormat="1" applyFont="1" applyBorder="1" applyAlignment="1">
      <alignment vertical="center" wrapText="1"/>
    </xf>
    <xf numFmtId="176" fontId="4" fillId="0" borderId="47" xfId="0" applyNumberFormat="1" applyFont="1" applyBorder="1" applyAlignment="1">
      <alignment vertical="center" wrapText="1"/>
    </xf>
    <xf numFmtId="176" fontId="3" fillId="0" borderId="42" xfId="0" applyNumberFormat="1" applyFont="1" applyBorder="1" applyAlignment="1">
      <alignment vertical="center" wrapText="1"/>
    </xf>
    <xf numFmtId="3" fontId="3" fillId="0" borderId="36" xfId="0" applyNumberFormat="1" applyFont="1" applyBorder="1" applyAlignment="1">
      <alignment vertical="center" wrapText="1"/>
    </xf>
    <xf numFmtId="176" fontId="3" fillId="0" borderId="43" xfId="0" applyNumberFormat="1" applyFont="1" applyBorder="1" applyAlignment="1">
      <alignment vertical="center" wrapText="1"/>
    </xf>
    <xf numFmtId="176" fontId="1" fillId="0" borderId="38" xfId="0" applyNumberFormat="1" applyFont="1" applyBorder="1" applyAlignment="1">
      <alignment vertical="center" wrapText="1"/>
    </xf>
    <xf numFmtId="0" fontId="1" fillId="0" borderId="35" xfId="0" applyFont="1" applyBorder="1" applyAlignment="1">
      <alignment vertical="center" wrapText="1"/>
    </xf>
    <xf numFmtId="0" fontId="18" fillId="0" borderId="48" xfId="0" applyFont="1" applyBorder="1" applyAlignment="1">
      <alignment vertical="center" wrapText="1"/>
    </xf>
    <xf numFmtId="176" fontId="18" fillId="0" borderId="49" xfId="0" applyNumberFormat="1" applyFont="1" applyBorder="1" applyAlignment="1">
      <alignment vertical="center" wrapText="1"/>
    </xf>
    <xf numFmtId="3" fontId="18" fillId="0" borderId="42" xfId="0" applyNumberFormat="1" applyFont="1" applyBorder="1" applyAlignment="1">
      <alignment vertical="center" wrapText="1"/>
    </xf>
    <xf numFmtId="176" fontId="18" fillId="0" borderId="42" xfId="0" applyNumberFormat="1" applyFont="1" applyBorder="1" applyAlignment="1">
      <alignment vertical="center" wrapText="1"/>
    </xf>
    <xf numFmtId="0" fontId="18" fillId="0" borderId="42" xfId="0" applyFont="1" applyBorder="1" applyAlignment="1">
      <alignment vertical="center" wrapText="1"/>
    </xf>
    <xf numFmtId="176" fontId="18" fillId="0" borderId="43" xfId="0" applyNumberFormat="1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10" fontId="3" fillId="0" borderId="50" xfId="0" applyNumberFormat="1" applyFont="1" applyBorder="1" applyAlignment="1">
      <alignment vertical="center" wrapText="1"/>
    </xf>
    <xf numFmtId="10" fontId="3" fillId="0" borderId="38" xfId="0" applyNumberFormat="1" applyFont="1" applyBorder="1" applyAlignment="1">
      <alignment vertical="center" wrapText="1"/>
    </xf>
    <xf numFmtId="0" fontId="3" fillId="0" borderId="41" xfId="0" applyFont="1" applyBorder="1" applyAlignment="1">
      <alignment vertical="center" wrapText="1"/>
    </xf>
    <xf numFmtId="10" fontId="3" fillId="0" borderId="40" xfId="0" applyNumberFormat="1" applyFont="1" applyBorder="1" applyAlignment="1">
      <alignment vertical="center" wrapText="1"/>
    </xf>
    <xf numFmtId="10" fontId="3" fillId="0" borderId="32" xfId="0" applyNumberFormat="1" applyFont="1" applyBorder="1" applyAlignment="1">
      <alignment vertical="center" wrapText="1"/>
    </xf>
    <xf numFmtId="0" fontId="3" fillId="0" borderId="37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52" xfId="0" applyFont="1" applyBorder="1" applyAlignment="1">
      <alignment vertical="center"/>
    </xf>
    <xf numFmtId="0" fontId="3" fillId="0" borderId="53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55" xfId="0" applyFont="1" applyBorder="1" applyAlignment="1">
      <alignment vertical="center"/>
    </xf>
    <xf numFmtId="0" fontId="7" fillId="0" borderId="55" xfId="0" applyFont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9" fontId="7" fillId="0" borderId="55" xfId="0" applyNumberFormat="1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6" xfId="0" applyFont="1" applyBorder="1" applyAlignment="1">
      <alignment vertical="center"/>
    </xf>
    <xf numFmtId="0" fontId="7" fillId="0" borderId="55" xfId="0" applyFont="1" applyBorder="1" applyAlignment="1">
      <alignment horizontal="left" vertical="center"/>
    </xf>
    <xf numFmtId="0" fontId="7" fillId="0" borderId="57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60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61" xfId="0" applyFont="1" applyBorder="1" applyAlignment="1">
      <alignment vertical="center" wrapText="1"/>
    </xf>
    <xf numFmtId="0" fontId="3" fillId="0" borderId="63" xfId="0" applyFont="1" applyBorder="1" applyAlignment="1">
      <alignment vertical="center" wrapText="1"/>
    </xf>
    <xf numFmtId="0" fontId="3" fillId="0" borderId="64" xfId="0" applyFont="1" applyBorder="1" applyAlignment="1">
      <alignment horizontal="center" vertical="center" wrapText="1"/>
    </xf>
    <xf numFmtId="3" fontId="3" fillId="0" borderId="65" xfId="0" applyNumberFormat="1" applyFont="1" applyBorder="1" applyAlignment="1">
      <alignment vertical="center" wrapText="1"/>
    </xf>
    <xf numFmtId="3" fontId="21" fillId="0" borderId="65" xfId="0" applyNumberFormat="1" applyFont="1" applyBorder="1" applyAlignment="1">
      <alignment vertical="center" wrapText="1"/>
    </xf>
    <xf numFmtId="176" fontId="3" fillId="0" borderId="66" xfId="0" applyNumberFormat="1" applyFont="1" applyBorder="1" applyAlignment="1">
      <alignment vertical="center" wrapText="1"/>
    </xf>
    <xf numFmtId="9" fontId="3" fillId="0" borderId="66" xfId="0" applyNumberFormat="1" applyFont="1" applyBorder="1" applyAlignment="1">
      <alignment vertical="center" wrapText="1"/>
    </xf>
    <xf numFmtId="0" fontId="1" fillId="0" borderId="63" xfId="0" applyFont="1" applyBorder="1" applyAlignment="1">
      <alignment vertical="center" wrapText="1"/>
    </xf>
    <xf numFmtId="3" fontId="1" fillId="0" borderId="66" xfId="0" applyNumberFormat="1" applyFont="1" applyBorder="1" applyAlignment="1">
      <alignment vertical="center" wrapText="1"/>
    </xf>
    <xf numFmtId="3" fontId="3" fillId="0" borderId="67" xfId="0" applyNumberFormat="1" applyFont="1" applyBorder="1" applyAlignment="1">
      <alignment vertical="center" wrapText="1"/>
    </xf>
    <xf numFmtId="3" fontId="3" fillId="0" borderId="66" xfId="0" applyNumberFormat="1" applyFont="1" applyBorder="1" applyAlignment="1">
      <alignment vertical="center" wrapText="1"/>
    </xf>
    <xf numFmtId="0" fontId="6" fillId="0" borderId="63" xfId="0" applyFont="1" applyBorder="1" applyAlignment="1">
      <alignment vertical="center" wrapText="1"/>
    </xf>
    <xf numFmtId="3" fontId="6" fillId="0" borderId="67" xfId="0" applyNumberFormat="1" applyFont="1" applyBorder="1" applyAlignment="1">
      <alignment vertical="center" wrapText="1"/>
    </xf>
    <xf numFmtId="3" fontId="1" fillId="0" borderId="65" xfId="0" applyNumberFormat="1" applyFont="1" applyBorder="1" applyAlignment="1">
      <alignment vertical="center" wrapText="1"/>
    </xf>
    <xf numFmtId="176" fontId="3" fillId="0" borderId="65" xfId="0" applyNumberFormat="1" applyFont="1" applyBorder="1" applyAlignment="1">
      <alignment vertical="center" wrapText="1"/>
    </xf>
    <xf numFmtId="176" fontId="1" fillId="0" borderId="66" xfId="0" applyNumberFormat="1" applyFont="1" applyBorder="1" applyAlignment="1">
      <alignment vertical="center" wrapText="1"/>
    </xf>
    <xf numFmtId="0" fontId="3" fillId="0" borderId="63" xfId="0" applyFont="1" applyBorder="1" applyAlignment="1">
      <alignment horizontal="left" vertical="center" wrapText="1"/>
    </xf>
    <xf numFmtId="3" fontId="6" fillId="0" borderId="66" xfId="0" applyNumberFormat="1" applyFont="1" applyBorder="1" applyAlignment="1">
      <alignment vertical="center" wrapText="1"/>
    </xf>
    <xf numFmtId="176" fontId="6" fillId="0" borderId="66" xfId="0" applyNumberFormat="1" applyFont="1" applyBorder="1" applyAlignment="1">
      <alignment vertical="center" wrapText="1"/>
    </xf>
    <xf numFmtId="0" fontId="3" fillId="0" borderId="63" xfId="0" applyFont="1" applyBorder="1" applyAlignment="1">
      <alignment horizontal="left" vertical="center" wrapText="1"/>
    </xf>
    <xf numFmtId="0" fontId="6" fillId="0" borderId="63" xfId="0" applyFont="1" applyBorder="1" applyAlignment="1">
      <alignment horizontal="left" vertical="center" wrapText="1"/>
    </xf>
    <xf numFmtId="3" fontId="6" fillId="0" borderId="65" xfId="0" applyNumberFormat="1" applyFont="1" applyBorder="1" applyAlignment="1">
      <alignment vertical="center" wrapText="1"/>
    </xf>
    <xf numFmtId="176" fontId="17" fillId="0" borderId="65" xfId="0" applyNumberFormat="1" applyFont="1" applyBorder="1" applyAlignment="1">
      <alignment vertical="center" wrapText="1"/>
    </xf>
    <xf numFmtId="3" fontId="17" fillId="0" borderId="65" xfId="0" applyNumberFormat="1" applyFont="1" applyBorder="1" applyAlignment="1">
      <alignment vertical="center" wrapText="1"/>
    </xf>
    <xf numFmtId="9" fontId="1" fillId="5" borderId="66" xfId="0" applyNumberFormat="1" applyFont="1" applyFill="1" applyBorder="1" applyAlignment="1">
      <alignment vertical="center" wrapText="1"/>
    </xf>
    <xf numFmtId="176" fontId="3" fillId="0" borderId="67" xfId="0" applyNumberFormat="1" applyFont="1" applyBorder="1" applyAlignment="1">
      <alignment vertical="center" wrapText="1"/>
    </xf>
    <xf numFmtId="176" fontId="1" fillId="0" borderId="65" xfId="0" applyNumberFormat="1" applyFont="1" applyBorder="1" applyAlignment="1">
      <alignment vertical="center" wrapText="1"/>
    </xf>
    <xf numFmtId="0" fontId="18" fillId="0" borderId="68" xfId="0" applyFont="1" applyBorder="1" applyAlignment="1">
      <alignment vertical="center" wrapText="1"/>
    </xf>
    <xf numFmtId="3" fontId="18" fillId="0" borderId="67" xfId="0" applyNumberFormat="1" applyFont="1" applyBorder="1" applyAlignment="1">
      <alignment vertical="center" wrapText="1"/>
    </xf>
    <xf numFmtId="176" fontId="18" fillId="0" borderId="67" xfId="0" applyNumberFormat="1" applyFont="1" applyBorder="1" applyAlignment="1">
      <alignment vertical="center" wrapText="1"/>
    </xf>
    <xf numFmtId="0" fontId="3" fillId="0" borderId="69" xfId="0" applyFont="1" applyBorder="1" applyAlignment="1">
      <alignment vertical="center" wrapText="1"/>
    </xf>
    <xf numFmtId="10" fontId="3" fillId="0" borderId="66" xfId="0" applyNumberFormat="1" applyFont="1" applyBorder="1" applyAlignment="1">
      <alignment vertical="center" wrapText="1"/>
    </xf>
    <xf numFmtId="0" fontId="3" fillId="0" borderId="66" xfId="0" applyFont="1" applyBorder="1" applyAlignment="1">
      <alignment vertical="center" wrapText="1"/>
    </xf>
    <xf numFmtId="10" fontId="3" fillId="5" borderId="66" xfId="0" applyNumberFormat="1" applyFont="1" applyFill="1" applyBorder="1" applyAlignment="1">
      <alignment vertical="center" wrapText="1"/>
    </xf>
    <xf numFmtId="9" fontId="3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3" fontId="1" fillId="5" borderId="0" xfId="0" applyNumberFormat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/>
    </xf>
    <xf numFmtId="9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6" borderId="0" xfId="0" applyNumberFormat="1" applyFont="1" applyFill="1" applyAlignment="1">
      <alignment horizontal="center"/>
    </xf>
    <xf numFmtId="0" fontId="3" fillId="0" borderId="0" xfId="0" applyFont="1" applyAlignment="1">
      <alignment vertical="center"/>
    </xf>
    <xf numFmtId="0" fontId="22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  <xf numFmtId="176" fontId="22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7" fillId="0" borderId="70" xfId="0" applyFont="1" applyBorder="1" applyAlignment="1">
      <alignment vertical="center"/>
    </xf>
    <xf numFmtId="0" fontId="7" fillId="0" borderId="71" xfId="0" applyFont="1" applyBorder="1" applyAlignment="1">
      <alignment vertical="center"/>
    </xf>
    <xf numFmtId="0" fontId="20" fillId="0" borderId="71" xfId="0" applyFont="1" applyBorder="1" applyAlignment="1">
      <alignment horizontal="center" vertical="center"/>
    </xf>
    <xf numFmtId="0" fontId="20" fillId="0" borderId="72" xfId="0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20" fillId="0" borderId="73" xfId="0" applyFont="1" applyBorder="1" applyAlignment="1">
      <alignment vertical="center"/>
    </xf>
    <xf numFmtId="0" fontId="20" fillId="0" borderId="74" xfId="0" applyFont="1" applyBorder="1" applyAlignment="1">
      <alignment vertical="center"/>
    </xf>
    <xf numFmtId="0" fontId="20" fillId="0" borderId="74" xfId="0" applyFont="1" applyBorder="1" applyAlignment="1">
      <alignment vertical="center"/>
    </xf>
    <xf numFmtId="3" fontId="20" fillId="0" borderId="74" xfId="0" applyNumberFormat="1" applyFont="1" applyBorder="1" applyAlignment="1">
      <alignment vertical="center"/>
    </xf>
    <xf numFmtId="3" fontId="20" fillId="0" borderId="75" xfId="0" applyNumberFormat="1" applyFont="1" applyBorder="1" applyAlignment="1">
      <alignment vertical="center"/>
    </xf>
    <xf numFmtId="0" fontId="7" fillId="0" borderId="76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3" fontId="7" fillId="0" borderId="0" xfId="0" applyNumberFormat="1" applyFont="1" applyAlignment="1">
      <alignment vertical="center"/>
    </xf>
    <xf numFmtId="0" fontId="7" fillId="0" borderId="77" xfId="0" applyFont="1" applyBorder="1" applyAlignment="1">
      <alignment vertical="center"/>
    </xf>
    <xf numFmtId="3" fontId="7" fillId="0" borderId="77" xfId="0" applyNumberFormat="1" applyFont="1" applyBorder="1" applyAlignment="1">
      <alignment vertical="center"/>
    </xf>
    <xf numFmtId="0" fontId="23" fillId="0" borderId="76" xfId="0" applyFont="1" applyBorder="1" applyAlignment="1">
      <alignment vertical="center"/>
    </xf>
    <xf numFmtId="0" fontId="23" fillId="0" borderId="77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3" fontId="23" fillId="0" borderId="77" xfId="0" applyNumberFormat="1" applyFont="1" applyBorder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77" xfId="0" applyNumberFormat="1" applyFont="1" applyBorder="1" applyAlignment="1">
      <alignment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77" xfId="0" applyNumberFormat="1" applyFont="1" applyBorder="1" applyAlignment="1">
      <alignment vertical="center"/>
    </xf>
    <xf numFmtId="0" fontId="23" fillId="0" borderId="76" xfId="0" applyFont="1" applyBorder="1" applyAlignment="1">
      <alignment vertical="center"/>
    </xf>
    <xf numFmtId="0" fontId="7" fillId="0" borderId="76" xfId="0" applyFont="1" applyBorder="1" applyAlignment="1">
      <alignment vertical="center"/>
    </xf>
    <xf numFmtId="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9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0" fontId="26" fillId="0" borderId="76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3" fontId="27" fillId="0" borderId="77" xfId="0" applyNumberFormat="1" applyFont="1" applyBorder="1" applyAlignment="1">
      <alignment vertical="center"/>
    </xf>
    <xf numFmtId="0" fontId="6" fillId="0" borderId="76" xfId="0" applyFont="1" applyBorder="1" applyAlignment="1">
      <alignment vertical="center"/>
    </xf>
    <xf numFmtId="3" fontId="4" fillId="0" borderId="0" xfId="0" applyNumberFormat="1" applyFont="1" applyAlignment="1">
      <alignment vertical="center"/>
    </xf>
    <xf numFmtId="3" fontId="4" fillId="0" borderId="77" xfId="0" applyNumberFormat="1" applyFont="1" applyBorder="1" applyAlignment="1">
      <alignment vertical="center"/>
    </xf>
    <xf numFmtId="3" fontId="2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76" xfId="0" applyFont="1" applyBorder="1" applyAlignment="1">
      <alignment vertical="center"/>
    </xf>
    <xf numFmtId="0" fontId="25" fillId="0" borderId="0" xfId="0" applyFont="1" applyAlignment="1">
      <alignment vertical="center"/>
    </xf>
    <xf numFmtId="9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5" fillId="0" borderId="77" xfId="0" applyNumberFormat="1" applyFont="1" applyBorder="1" applyAlignment="1">
      <alignment vertical="center"/>
    </xf>
    <xf numFmtId="3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3" fontId="7" fillId="0" borderId="77" xfId="0" applyNumberFormat="1" applyFont="1" applyBorder="1" applyAlignment="1">
      <alignment vertical="center"/>
    </xf>
    <xf numFmtId="0" fontId="20" fillId="0" borderId="76" xfId="0" applyFont="1" applyBorder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77" xfId="0" applyNumberFormat="1" applyFont="1" applyBorder="1" applyAlignment="1">
      <alignment vertical="center"/>
    </xf>
    <xf numFmtId="0" fontId="24" fillId="0" borderId="0" xfId="0" applyFont="1" applyAlignment="1">
      <alignment vertical="center"/>
    </xf>
    <xf numFmtId="177" fontId="20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0" fontId="24" fillId="0" borderId="77" xfId="0" applyFont="1" applyBorder="1" applyAlignment="1">
      <alignment vertical="center"/>
    </xf>
    <xf numFmtId="0" fontId="24" fillId="0" borderId="75" xfId="0" applyFont="1" applyBorder="1" applyAlignment="1">
      <alignment vertical="center"/>
    </xf>
    <xf numFmtId="0" fontId="7" fillId="0" borderId="78" xfId="0" applyFont="1" applyBorder="1" applyAlignment="1">
      <alignment vertical="center"/>
    </xf>
    <xf numFmtId="0" fontId="7" fillId="0" borderId="79" xfId="0" applyFont="1" applyBorder="1" applyAlignment="1">
      <alignment vertical="center"/>
    </xf>
    <xf numFmtId="0" fontId="20" fillId="0" borderId="79" xfId="0" applyFont="1" applyBorder="1" applyAlignment="1">
      <alignment horizontal="center" vertical="center"/>
    </xf>
    <xf numFmtId="0" fontId="20" fillId="0" borderId="80" xfId="0" applyFont="1" applyBorder="1" applyAlignment="1">
      <alignment horizontal="center" vertical="center"/>
    </xf>
    <xf numFmtId="0" fontId="20" fillId="0" borderId="81" xfId="0" applyFont="1" applyBorder="1" applyAlignment="1">
      <alignment vertical="center"/>
    </xf>
    <xf numFmtId="0" fontId="7" fillId="0" borderId="82" xfId="0" applyFont="1" applyBorder="1" applyAlignment="1">
      <alignment vertical="center"/>
    </xf>
    <xf numFmtId="0" fontId="20" fillId="0" borderId="83" xfId="0" applyFont="1" applyBorder="1" applyAlignment="1">
      <alignment vertical="center"/>
    </xf>
    <xf numFmtId="3" fontId="20" fillId="0" borderId="84" xfId="0" applyNumberFormat="1" applyFont="1" applyBorder="1" applyAlignment="1">
      <alignment vertical="center"/>
    </xf>
    <xf numFmtId="0" fontId="23" fillId="0" borderId="81" xfId="0" applyFont="1" applyBorder="1" applyAlignment="1">
      <alignment vertical="center"/>
    </xf>
    <xf numFmtId="3" fontId="23" fillId="0" borderId="82" xfId="0" applyNumberFormat="1" applyFont="1" applyBorder="1" applyAlignment="1">
      <alignment vertical="center"/>
    </xf>
    <xf numFmtId="0" fontId="7" fillId="0" borderId="81" xfId="0" applyFont="1" applyBorder="1" applyAlignment="1">
      <alignment vertical="center"/>
    </xf>
    <xf numFmtId="3" fontId="25" fillId="0" borderId="82" xfId="0" applyNumberFormat="1" applyFont="1" applyBorder="1" applyAlignment="1">
      <alignment vertical="center"/>
    </xf>
    <xf numFmtId="3" fontId="6" fillId="0" borderId="82" xfId="0" applyNumberFormat="1" applyFont="1" applyBorder="1" applyAlignment="1">
      <alignment vertical="center"/>
    </xf>
    <xf numFmtId="0" fontId="23" fillId="0" borderId="82" xfId="0" applyFont="1" applyBorder="1" applyAlignment="1">
      <alignment vertical="center"/>
    </xf>
    <xf numFmtId="0" fontId="7" fillId="0" borderId="81" xfId="0" applyFont="1" applyBorder="1" applyAlignment="1">
      <alignment vertical="center"/>
    </xf>
    <xf numFmtId="0" fontId="28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3" fillId="7" borderId="0" xfId="0" applyNumberFormat="1" applyFont="1" applyFill="1" applyAlignment="1">
      <alignment vertical="center"/>
    </xf>
    <xf numFmtId="0" fontId="20" fillId="0" borderId="85" xfId="0" applyFont="1" applyBorder="1" applyAlignment="1">
      <alignment vertical="center"/>
    </xf>
    <xf numFmtId="0" fontId="7" fillId="0" borderId="86" xfId="0" applyFont="1" applyBorder="1" applyAlignment="1">
      <alignment vertical="center"/>
    </xf>
    <xf numFmtId="3" fontId="23" fillId="0" borderId="86" xfId="0" applyNumberFormat="1" applyFont="1" applyBorder="1" applyAlignment="1">
      <alignment vertical="center"/>
    </xf>
    <xf numFmtId="0" fontId="7" fillId="0" borderId="87" xfId="0" applyFont="1" applyBorder="1" applyAlignment="1">
      <alignment vertical="center"/>
    </xf>
    <xf numFmtId="0" fontId="1" fillId="0" borderId="88" xfId="0" applyFont="1" applyBorder="1" applyAlignment="1">
      <alignment horizontal="center" vertical="center" wrapText="1"/>
    </xf>
    <xf numFmtId="0" fontId="1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0" fontId="10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8" borderId="90" xfId="0" applyFont="1" applyFill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91" xfId="0" applyFont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7" fillId="0" borderId="0" xfId="0" applyFont="1" applyAlignment="1">
      <alignment vertical="center"/>
    </xf>
    <xf numFmtId="3" fontId="3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0" borderId="91" xfId="0" applyFont="1" applyBorder="1" applyAlignment="1">
      <alignment vertical="center" wrapText="1"/>
    </xf>
    <xf numFmtId="3" fontId="3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91" xfId="0" applyFont="1" applyBorder="1" applyAlignment="1">
      <alignment vertical="center" wrapText="1"/>
    </xf>
    <xf numFmtId="3" fontId="3" fillId="0" borderId="0" xfId="0" applyNumberFormat="1" applyFont="1" applyAlignment="1">
      <alignment vertical="center"/>
    </xf>
    <xf numFmtId="0" fontId="3" fillId="8" borderId="92" xfId="0" applyFont="1" applyFill="1" applyBorder="1" applyAlignment="1">
      <alignment vertical="center"/>
    </xf>
    <xf numFmtId="0" fontId="3" fillId="0" borderId="9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92" xfId="0" applyFont="1" applyBorder="1" applyAlignment="1">
      <alignment vertical="center"/>
    </xf>
    <xf numFmtId="0" fontId="3" fillId="0" borderId="92" xfId="0" applyFont="1" applyBorder="1" applyAlignment="1">
      <alignment vertical="center" wrapText="1"/>
    </xf>
    <xf numFmtId="0" fontId="3" fillId="0" borderId="92" xfId="0" applyFont="1" applyBorder="1" applyAlignment="1">
      <alignment vertical="center" wrapText="1"/>
    </xf>
    <xf numFmtId="0" fontId="3" fillId="0" borderId="92" xfId="0" applyFont="1" applyBorder="1" applyAlignment="1">
      <alignment vertical="center"/>
    </xf>
    <xf numFmtId="0" fontId="6" fillId="0" borderId="91" xfId="0" applyFont="1" applyBorder="1" applyAlignment="1">
      <alignment horizontal="left" vertical="center" wrapText="1"/>
    </xf>
    <xf numFmtId="0" fontId="3" fillId="0" borderId="91" xfId="0" applyFont="1" applyBorder="1" applyAlignment="1">
      <alignment horizontal="left" vertical="center" wrapText="1"/>
    </xf>
    <xf numFmtId="3" fontId="3" fillId="0" borderId="0" xfId="0" applyNumberFormat="1" applyFont="1" applyAlignment="1">
      <alignment horizontal="left" vertical="center"/>
    </xf>
    <xf numFmtId="0" fontId="3" fillId="0" borderId="92" xfId="0" applyFont="1" applyBorder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vertical="center"/>
    </xf>
    <xf numFmtId="176" fontId="1" fillId="0" borderId="0" xfId="0" applyNumberFormat="1" applyFont="1" applyAlignment="1">
      <alignment horizontal="left" vertical="center"/>
    </xf>
    <xf numFmtId="0" fontId="18" fillId="0" borderId="0" xfId="0" applyFont="1" applyAlignment="1">
      <alignment vertical="center" wrapText="1"/>
    </xf>
    <xf numFmtId="10" fontId="3" fillId="0" borderId="0" xfId="0" applyNumberFormat="1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0" fillId="0" borderId="96" xfId="0" applyFont="1" applyBorder="1" applyAlignment="1">
      <alignment horizontal="center" vertical="center"/>
    </xf>
    <xf numFmtId="0" fontId="1" fillId="0" borderId="94" xfId="0" applyFont="1" applyBorder="1" applyAlignment="1">
      <alignment vertical="center" wrapText="1"/>
    </xf>
    <xf numFmtId="0" fontId="7" fillId="0" borderId="94" xfId="0" applyFont="1" applyBorder="1" applyAlignment="1">
      <alignment vertical="center"/>
    </xf>
    <xf numFmtId="0" fontId="23" fillId="0" borderId="94" xfId="0" applyFont="1" applyBorder="1" applyAlignment="1">
      <alignment vertical="center"/>
    </xf>
    <xf numFmtId="0" fontId="23" fillId="0" borderId="97" xfId="0" applyFont="1" applyBorder="1" applyAlignment="1">
      <alignment horizontal="center" vertical="center"/>
    </xf>
    <xf numFmtId="0" fontId="23" fillId="0" borderId="97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" fillId="0" borderId="94" xfId="0" applyFont="1" applyBorder="1" applyAlignment="1">
      <alignment vertical="center"/>
    </xf>
    <xf numFmtId="0" fontId="23" fillId="0" borderId="94" xfId="0" applyFont="1" applyBorder="1" applyAlignment="1">
      <alignment vertical="center"/>
    </xf>
    <xf numFmtId="0" fontId="7" fillId="0" borderId="94" xfId="0" applyFont="1" applyBorder="1" applyAlignment="1">
      <alignment vertical="center"/>
    </xf>
    <xf numFmtId="3" fontId="3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 wrapText="1"/>
    </xf>
    <xf numFmtId="3" fontId="3" fillId="0" borderId="99" xfId="0" applyNumberFormat="1" applyFont="1" applyBorder="1" applyAlignment="1">
      <alignment vertical="center"/>
    </xf>
    <xf numFmtId="3" fontId="3" fillId="0" borderId="100" xfId="0" applyNumberFormat="1" applyFont="1" applyBorder="1" applyAlignment="1">
      <alignment vertical="center"/>
    </xf>
    <xf numFmtId="3" fontId="3" fillId="0" borderId="102" xfId="0" applyNumberFormat="1" applyFont="1" applyBorder="1" applyAlignment="1">
      <alignment vertical="center"/>
    </xf>
    <xf numFmtId="3" fontId="23" fillId="0" borderId="0" xfId="0" applyNumberFormat="1" applyFont="1" applyAlignment="1">
      <alignment horizontal="center" vertical="center"/>
    </xf>
    <xf numFmtId="3" fontId="23" fillId="0" borderId="10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9" borderId="0" xfId="0" applyNumberFormat="1" applyFont="1" applyFill="1" applyAlignment="1">
      <alignment horizontal="center" vertical="center" wrapText="1"/>
    </xf>
    <xf numFmtId="3" fontId="3" fillId="0" borderId="101" xfId="0" applyNumberFormat="1" applyFont="1" applyBorder="1" applyAlignment="1">
      <alignment vertical="center"/>
    </xf>
    <xf numFmtId="3" fontId="3" fillId="0" borderId="0" xfId="0" applyNumberFormat="1" applyFont="1" applyAlignment="1">
      <alignment horizontal="center" vertical="center" wrapText="1"/>
    </xf>
    <xf numFmtId="177" fontId="29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102" xfId="0" applyNumberFormat="1" applyFont="1" applyBorder="1" applyAlignment="1">
      <alignment vertical="center"/>
    </xf>
    <xf numFmtId="177" fontId="23" fillId="0" borderId="0" xfId="0" applyNumberFormat="1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vertical="center"/>
    </xf>
    <xf numFmtId="3" fontId="3" fillId="0" borderId="99" xfId="0" applyNumberFormat="1" applyFont="1" applyBorder="1" applyAlignment="1">
      <alignment vertical="center"/>
    </xf>
    <xf numFmtId="3" fontId="3" fillId="0" borderId="100" xfId="0" applyNumberFormat="1" applyFont="1" applyBorder="1" applyAlignment="1">
      <alignment vertical="center"/>
    </xf>
    <xf numFmtId="3" fontId="3" fillId="0" borderId="0" xfId="0" applyNumberFormat="1" applyFont="1" applyAlignment="1">
      <alignment vertical="center"/>
    </xf>
    <xf numFmtId="3" fontId="3" fillId="0" borderId="102" xfId="0" applyNumberFormat="1" applyFont="1" applyBorder="1" applyAlignment="1">
      <alignment vertical="center"/>
    </xf>
    <xf numFmtId="3" fontId="23" fillId="0" borderId="0" xfId="0" applyNumberFormat="1" applyFont="1" applyAlignment="1">
      <alignment horizontal="center" vertical="center"/>
    </xf>
    <xf numFmtId="3" fontId="23" fillId="0" borderId="102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1" fillId="9" borderId="0" xfId="0" applyNumberFormat="1" applyFont="1" applyFill="1" applyAlignment="1">
      <alignment horizontal="center" vertical="center" wrapText="1"/>
    </xf>
    <xf numFmtId="3" fontId="3" fillId="0" borderId="101" xfId="0" applyNumberFormat="1" applyFont="1" applyBorder="1" applyAlignment="1">
      <alignment vertical="center"/>
    </xf>
    <xf numFmtId="3" fontId="3" fillId="0" borderId="0" xfId="0" applyNumberFormat="1" applyFont="1" applyAlignment="1">
      <alignment horizontal="center" vertical="center" wrapText="1"/>
    </xf>
    <xf numFmtId="177" fontId="29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102" xfId="0" applyNumberFormat="1" applyFont="1" applyBorder="1" applyAlignment="1">
      <alignment vertical="center"/>
    </xf>
    <xf numFmtId="177" fontId="23" fillId="0" borderId="0" xfId="0" applyNumberFormat="1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3" fillId="0" borderId="101" xfId="0" applyNumberFormat="1" applyFont="1" applyBorder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3" fontId="3" fillId="0" borderId="101" xfId="0" applyNumberFormat="1" applyFont="1" applyBorder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3" fontId="23" fillId="0" borderId="104" xfId="0" applyNumberFormat="1" applyFont="1" applyBorder="1" applyAlignment="1">
      <alignment horizontal="center" vertical="center"/>
    </xf>
    <xf numFmtId="3" fontId="23" fillId="0" borderId="104" xfId="0" applyNumberFormat="1" applyFont="1" applyBorder="1" applyAlignment="1">
      <alignment horizontal="center" vertical="center"/>
    </xf>
    <xf numFmtId="3" fontId="7" fillId="0" borderId="105" xfId="0" applyNumberFormat="1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3" fontId="22" fillId="10" borderId="106" xfId="0" applyNumberFormat="1" applyFont="1" applyFill="1" applyBorder="1" applyAlignment="1"/>
    <xf numFmtId="3" fontId="29" fillId="0" borderId="0" xfId="0" applyNumberFormat="1" applyFont="1" applyAlignment="1"/>
    <xf numFmtId="3" fontId="29" fillId="0" borderId="0" xfId="0" applyNumberFormat="1" applyFont="1" applyAlignment="1"/>
    <xf numFmtId="3" fontId="22" fillId="10" borderId="106" xfId="0" applyNumberFormat="1" applyFont="1" applyFill="1" applyBorder="1" applyAlignment="1"/>
    <xf numFmtId="0" fontId="7" fillId="0" borderId="0" xfId="0" applyFont="1" applyAlignment="1">
      <alignment vertical="center"/>
    </xf>
    <xf numFmtId="3" fontId="29" fillId="0" borderId="0" xfId="0" applyNumberFormat="1" applyFont="1" applyAlignment="1">
      <alignment horizontal="left"/>
    </xf>
    <xf numFmtId="3" fontId="29" fillId="0" borderId="0" xfId="0" applyNumberFormat="1" applyFont="1" applyAlignment="1"/>
    <xf numFmtId="3" fontId="29" fillId="0" borderId="0" xfId="0" applyNumberFormat="1" applyFont="1" applyAlignment="1">
      <alignment horizontal="left" wrapText="1"/>
    </xf>
    <xf numFmtId="3" fontId="29" fillId="0" borderId="0" xfId="0" applyNumberFormat="1" applyFont="1" applyAlignment="1"/>
    <xf numFmtId="3" fontId="29" fillId="0" borderId="0" xfId="0" applyNumberFormat="1" applyFont="1" applyAlignment="1">
      <alignment wrapText="1"/>
    </xf>
    <xf numFmtId="3" fontId="22" fillId="10" borderId="107" xfId="0" applyNumberFormat="1" applyFont="1" applyFill="1" applyBorder="1" applyAlignment="1"/>
    <xf numFmtId="3" fontId="22" fillId="10" borderId="107" xfId="0" applyNumberFormat="1" applyFont="1" applyFill="1" applyBorder="1" applyAlignment="1">
      <alignment horizontal="left" wrapText="1"/>
    </xf>
    <xf numFmtId="3" fontId="3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3" fontId="3" fillId="11" borderId="0" xfId="0" applyNumberFormat="1" applyFont="1" applyFill="1" applyAlignment="1">
      <alignment vertical="center"/>
    </xf>
    <xf numFmtId="3" fontId="3" fillId="0" borderId="0" xfId="0" applyNumberFormat="1" applyFont="1" applyAlignment="1">
      <alignment vertical="center"/>
    </xf>
    <xf numFmtId="3" fontId="1" fillId="0" borderId="108" xfId="0" applyNumberFormat="1" applyFont="1" applyBorder="1" applyAlignment="1">
      <alignment vertical="center" wrapText="1"/>
    </xf>
    <xf numFmtId="3" fontId="3" fillId="0" borderId="109" xfId="0" applyNumberFormat="1" applyFont="1" applyBorder="1" applyAlignment="1">
      <alignment vertical="center"/>
    </xf>
    <xf numFmtId="3" fontId="3" fillId="0" borderId="110" xfId="0" applyNumberFormat="1" applyFont="1" applyBorder="1" applyAlignment="1">
      <alignment vertical="center"/>
    </xf>
    <xf numFmtId="3" fontId="1" fillId="0" borderId="111" xfId="0" applyNumberFormat="1" applyFont="1" applyBorder="1" applyAlignment="1">
      <alignment vertical="center" wrapText="1"/>
    </xf>
    <xf numFmtId="3" fontId="1" fillId="0" borderId="112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/>
    </xf>
    <xf numFmtId="3" fontId="3" fillId="0" borderId="113" xfId="0" applyNumberFormat="1" applyFont="1" applyBorder="1" applyAlignment="1">
      <alignment vertical="center"/>
    </xf>
    <xf numFmtId="3" fontId="3" fillId="0" borderId="114" xfId="0" applyNumberFormat="1" applyFont="1" applyBorder="1" applyAlignment="1">
      <alignment vertical="center"/>
    </xf>
    <xf numFmtId="3" fontId="1" fillId="0" borderId="115" xfId="0" applyNumberFormat="1" applyFont="1" applyBorder="1" applyAlignment="1">
      <alignment horizontal="center" vertical="center" wrapText="1"/>
    </xf>
    <xf numFmtId="3" fontId="21" fillId="0" borderId="112" xfId="0" applyNumberFormat="1" applyFont="1" applyBorder="1" applyAlignment="1"/>
    <xf numFmtId="3" fontId="1" fillId="0" borderId="116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/>
    </xf>
    <xf numFmtId="3" fontId="1" fillId="0" borderId="117" xfId="0" applyNumberFormat="1" applyFont="1" applyBorder="1" applyAlignment="1">
      <alignment horizontal="center" vertical="center" wrapText="1"/>
    </xf>
    <xf numFmtId="3" fontId="1" fillId="0" borderId="117" xfId="0" applyNumberFormat="1" applyFont="1" applyBorder="1" applyAlignment="1">
      <alignment horizontal="center" vertical="center" wrapText="1"/>
    </xf>
    <xf numFmtId="3" fontId="22" fillId="0" borderId="118" xfId="0" applyNumberFormat="1" applyFont="1" applyBorder="1" applyAlignment="1">
      <alignment horizontal="center"/>
    </xf>
    <xf numFmtId="3" fontId="1" fillId="0" borderId="119" xfId="0" applyNumberFormat="1" applyFont="1" applyBorder="1" applyAlignment="1">
      <alignment horizontal="center" vertical="center" wrapText="1"/>
    </xf>
    <xf numFmtId="3" fontId="1" fillId="0" borderId="120" xfId="0" applyNumberFormat="1" applyFont="1" applyBorder="1" applyAlignment="1">
      <alignment horizontal="center" vertical="center" wrapText="1"/>
    </xf>
    <xf numFmtId="3" fontId="3" fillId="0" borderId="111" xfId="0" applyNumberFormat="1" applyFont="1" applyBorder="1" applyAlignment="1">
      <alignment vertical="center"/>
    </xf>
    <xf numFmtId="3" fontId="3" fillId="0" borderId="119" xfId="0" applyNumberFormat="1" applyFont="1" applyBorder="1" applyAlignment="1">
      <alignment vertical="center"/>
    </xf>
    <xf numFmtId="3" fontId="1" fillId="0" borderId="119" xfId="0" applyNumberFormat="1" applyFont="1" applyBorder="1" applyAlignment="1">
      <alignment vertical="center" wrapText="1"/>
    </xf>
    <xf numFmtId="3" fontId="1" fillId="0" borderId="114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 wrapText="1"/>
    </xf>
    <xf numFmtId="3" fontId="21" fillId="0" borderId="112" xfId="0" applyNumberFormat="1" applyFont="1" applyBorder="1" applyAlignment="1"/>
    <xf numFmtId="3" fontId="21" fillId="0" borderId="114" xfId="0" applyNumberFormat="1" applyFont="1" applyBorder="1" applyAlignment="1"/>
    <xf numFmtId="3" fontId="3" fillId="0" borderId="114" xfId="0" applyNumberFormat="1" applyFont="1" applyBorder="1" applyAlignment="1">
      <alignment vertical="center" wrapText="1"/>
    </xf>
    <xf numFmtId="3" fontId="3" fillId="0" borderId="119" xfId="0" applyNumberFormat="1" applyFont="1" applyBorder="1" applyAlignment="1">
      <alignment vertical="center" wrapText="1"/>
    </xf>
    <xf numFmtId="3" fontId="21" fillId="0" borderId="119" xfId="0" applyNumberFormat="1" applyFont="1" applyBorder="1" applyAlignment="1"/>
    <xf numFmtId="3" fontId="21" fillId="0" borderId="119" xfId="0" applyNumberFormat="1" applyFont="1" applyBorder="1" applyAlignment="1"/>
    <xf numFmtId="3" fontId="3" fillId="0" borderId="112" xfId="0" applyNumberFormat="1" applyFont="1" applyBorder="1" applyAlignment="1">
      <alignment vertical="center" wrapText="1"/>
    </xf>
    <xf numFmtId="3" fontId="21" fillId="0" borderId="112" xfId="0" applyNumberFormat="1" applyFont="1" applyBorder="1" applyAlignment="1"/>
    <xf numFmtId="3" fontId="3" fillId="0" borderId="111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 wrapText="1"/>
    </xf>
    <xf numFmtId="3" fontId="3" fillId="0" borderId="112" xfId="0" applyNumberFormat="1" applyFont="1" applyBorder="1" applyAlignment="1">
      <alignment vertical="center"/>
    </xf>
    <xf numFmtId="3" fontId="1" fillId="0" borderId="112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5" xfId="0" applyNumberFormat="1" applyFont="1" applyBorder="1" applyAlignment="1">
      <alignment vertical="center" wrapText="1"/>
    </xf>
    <xf numFmtId="3" fontId="1" fillId="0" borderId="117" xfId="0" applyNumberFormat="1" applyFont="1" applyBorder="1" applyAlignment="1">
      <alignment vertical="center" wrapText="1"/>
    </xf>
    <xf numFmtId="3" fontId="3" fillId="0" borderId="115" xfId="0" applyNumberFormat="1" applyFont="1" applyBorder="1" applyAlignment="1">
      <alignment vertical="center" wrapText="1"/>
    </xf>
    <xf numFmtId="3" fontId="3" fillId="0" borderId="119" xfId="0" applyNumberFormat="1" applyFont="1" applyBorder="1" applyAlignment="1">
      <alignment vertical="center" wrapText="1"/>
    </xf>
    <xf numFmtId="3" fontId="1" fillId="0" borderId="121" xfId="0" applyNumberFormat="1" applyFont="1" applyBorder="1" applyAlignment="1">
      <alignment vertical="center" wrapText="1"/>
    </xf>
    <xf numFmtId="3" fontId="3" fillId="0" borderId="115" xfId="0" applyNumberFormat="1" applyFont="1" applyBorder="1" applyAlignment="1">
      <alignment vertical="center"/>
    </xf>
    <xf numFmtId="3" fontId="3" fillId="0" borderId="122" xfId="0" applyNumberFormat="1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23" fillId="0" borderId="125" xfId="0" applyFont="1" applyBorder="1" applyAlignment="1">
      <alignment horizontal="center" vertical="center"/>
    </xf>
    <xf numFmtId="0" fontId="23" fillId="0" borderId="126" xfId="0" applyFont="1" applyBorder="1" applyAlignment="1">
      <alignment horizontal="center" vertical="center"/>
    </xf>
    <xf numFmtId="3" fontId="1" fillId="0" borderId="127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/>
    </xf>
    <xf numFmtId="3" fontId="1" fillId="0" borderId="128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3" fontId="3" fillId="0" borderId="123" xfId="0" applyNumberFormat="1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/>
    </xf>
    <xf numFmtId="0" fontId="7" fillId="0" borderId="128" xfId="0" applyFont="1" applyBorder="1" applyAlignment="1">
      <alignment horizontal="center" vertical="center"/>
    </xf>
    <xf numFmtId="0" fontId="7" fillId="0" borderId="125" xfId="0" applyFont="1" applyBorder="1" applyAlignment="1">
      <alignment vertical="center"/>
    </xf>
    <xf numFmtId="3" fontId="3" fillId="0" borderId="128" xfId="0" applyNumberFormat="1" applyFont="1" applyBorder="1" applyAlignment="1">
      <alignment horizontal="center" vertical="center" wrapText="1"/>
    </xf>
    <xf numFmtId="0" fontId="7" fillId="0" borderId="129" xfId="0" applyFont="1" applyBorder="1" applyAlignment="1">
      <alignment horizontal="center" vertical="center"/>
    </xf>
    <xf numFmtId="0" fontId="7" fillId="0" borderId="123" xfId="0" applyFont="1" applyBorder="1" applyAlignment="1">
      <alignment vertical="center"/>
    </xf>
    <xf numFmtId="3" fontId="3" fillId="0" borderId="123" xfId="0" applyNumberFormat="1" applyFont="1" applyBorder="1" applyAlignment="1">
      <alignment horizontal="center" vertical="center" wrapText="1"/>
    </xf>
    <xf numFmtId="0" fontId="7" fillId="0" borderId="123" xfId="0" applyFont="1" applyBorder="1" applyAlignment="1">
      <alignment horizontal="center" vertical="center"/>
    </xf>
    <xf numFmtId="0" fontId="7" fillId="0" borderId="124" xfId="0" applyFont="1" applyBorder="1" applyAlignment="1">
      <alignment horizontal="center" vertical="center"/>
    </xf>
    <xf numFmtId="3" fontId="3" fillId="0" borderId="130" xfId="0" applyNumberFormat="1" applyFont="1" applyBorder="1" applyAlignment="1">
      <alignment horizontal="center" vertical="center" wrapText="1"/>
    </xf>
    <xf numFmtId="0" fontId="7" fillId="0" borderId="130" xfId="0" applyFont="1" applyBorder="1" applyAlignment="1">
      <alignment horizontal="center" vertical="center"/>
    </xf>
    <xf numFmtId="0" fontId="7" fillId="0" borderId="131" xfId="0" applyFont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4" xfId="0" applyFont="1" applyBorder="1" applyAlignment="1">
      <alignment horizontal="center" vertical="center"/>
    </xf>
    <xf numFmtId="0" fontId="7" fillId="0" borderId="123" xfId="0" applyFont="1" applyBorder="1" applyAlignment="1">
      <alignment vertical="center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 wrapText="1"/>
    </xf>
    <xf numFmtId="3" fontId="1" fillId="0" borderId="128" xfId="0" applyNumberFormat="1" applyFont="1" applyBorder="1" applyAlignment="1">
      <alignment horizontal="center" vertical="center"/>
    </xf>
    <xf numFmtId="0" fontId="7" fillId="0" borderId="123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49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vertical="center"/>
    </xf>
    <xf numFmtId="0" fontId="1" fillId="12" borderId="0" xfId="0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3" fillId="13" borderId="0" xfId="0" applyNumberFormat="1" applyFont="1" applyFill="1" applyAlignment="1">
      <alignment vertical="center"/>
    </xf>
    <xf numFmtId="0" fontId="3" fillId="13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4" fillId="0" borderId="0" xfId="0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32" xfId="0" applyFont="1" applyBorder="1" applyAlignment="1">
      <alignment horizontal="center" vertical="center"/>
    </xf>
    <xf numFmtId="0" fontId="15" fillId="0" borderId="133" xfId="0" applyFont="1" applyBorder="1" applyAlignment="1">
      <alignment horizontal="center" vertical="center"/>
    </xf>
    <xf numFmtId="0" fontId="30" fillId="0" borderId="132" xfId="0" applyFont="1" applyBorder="1" applyAlignment="1">
      <alignment horizontal="center" vertical="center"/>
    </xf>
    <xf numFmtId="0" fontId="30" fillId="0" borderId="132" xfId="0" applyFont="1" applyBorder="1" applyAlignment="1">
      <alignment horizontal="center" vertical="center"/>
    </xf>
    <xf numFmtId="0" fontId="30" fillId="0" borderId="133" xfId="0" applyFont="1" applyBorder="1" applyAlignment="1">
      <alignment horizontal="center" vertical="center"/>
    </xf>
    <xf numFmtId="0" fontId="3" fillId="0" borderId="135" xfId="0" applyFont="1" applyBorder="1" applyAlignment="1">
      <alignment vertical="center" wrapText="1"/>
    </xf>
    <xf numFmtId="0" fontId="1" fillId="0" borderId="136" xfId="0" applyFont="1" applyBorder="1" applyAlignment="1">
      <alignment vertical="center" wrapText="1"/>
    </xf>
    <xf numFmtId="0" fontId="1" fillId="0" borderId="133" xfId="0" applyFont="1" applyBorder="1" applyAlignment="1">
      <alignment vertical="center" wrapText="1"/>
    </xf>
    <xf numFmtId="0" fontId="1" fillId="0" borderId="137" xfId="0" applyFont="1" applyBorder="1" applyAlignment="1">
      <alignment vertical="center" wrapText="1"/>
    </xf>
    <xf numFmtId="0" fontId="1" fillId="0" borderId="136" xfId="0" applyFont="1" applyBorder="1" applyAlignment="1">
      <alignment vertical="center" wrapText="1"/>
    </xf>
    <xf numFmtId="0" fontId="3" fillId="0" borderId="137" xfId="0" applyFont="1" applyBorder="1" applyAlignment="1">
      <alignment vertical="center" wrapText="1"/>
    </xf>
    <xf numFmtId="0" fontId="3" fillId="0" borderId="133" xfId="0" applyFont="1" applyBorder="1" applyAlignment="1">
      <alignment vertical="center" wrapText="1"/>
    </xf>
    <xf numFmtId="0" fontId="3" fillId="0" borderId="138" xfId="0" applyFont="1" applyBorder="1" applyAlignment="1">
      <alignment horizontal="left" vertical="center" wrapText="1"/>
    </xf>
    <xf numFmtId="0" fontId="1" fillId="0" borderId="133" xfId="0" applyFont="1" applyBorder="1" applyAlignment="1">
      <alignment horizontal="left" vertical="center" wrapText="1"/>
    </xf>
    <xf numFmtId="0" fontId="1" fillId="0" borderId="138" xfId="0" applyFont="1" applyBorder="1" applyAlignment="1">
      <alignment horizontal="left" vertical="center" wrapText="1"/>
    </xf>
    <xf numFmtId="0" fontId="1" fillId="0" borderId="137" xfId="0" applyFont="1" applyBorder="1" applyAlignment="1">
      <alignment horizontal="left" vertical="center" wrapText="1"/>
    </xf>
    <xf numFmtId="0" fontId="1" fillId="0" borderId="138" xfId="0" applyFont="1" applyBorder="1" applyAlignment="1">
      <alignment vertical="center" wrapText="1"/>
    </xf>
    <xf numFmtId="0" fontId="3" fillId="0" borderId="135" xfId="0" applyFont="1" applyBorder="1" applyAlignment="1">
      <alignment vertical="center" wrapText="1"/>
    </xf>
    <xf numFmtId="0" fontId="1" fillId="0" borderId="135" xfId="0" applyFont="1" applyBorder="1" applyAlignment="1">
      <alignment vertical="center" wrapText="1"/>
    </xf>
    <xf numFmtId="0" fontId="1" fillId="0" borderId="135" xfId="0" applyFont="1" applyBorder="1" applyAlignment="1">
      <alignment horizontal="left" vertical="center" wrapText="1"/>
    </xf>
    <xf numFmtId="0" fontId="15" fillId="0" borderId="135" xfId="0" applyFont="1" applyBorder="1" applyAlignment="1">
      <alignment horizontal="center" vertical="center"/>
    </xf>
    <xf numFmtId="0" fontId="30" fillId="0" borderId="135" xfId="0" applyFont="1" applyBorder="1" applyAlignment="1">
      <alignment horizontal="center" vertical="center"/>
    </xf>
    <xf numFmtId="0" fontId="1" fillId="0" borderId="133" xfId="0" applyFont="1" applyBorder="1" applyAlignment="1">
      <alignment horizontal="center" vertical="center"/>
    </xf>
    <xf numFmtId="0" fontId="3" fillId="0" borderId="133" xfId="0" applyFont="1" applyBorder="1" applyAlignment="1">
      <alignment vertical="center"/>
    </xf>
    <xf numFmtId="0" fontId="1" fillId="0" borderId="133" xfId="0" applyFont="1" applyBorder="1" applyAlignment="1">
      <alignment vertical="center"/>
    </xf>
    <xf numFmtId="0" fontId="3" fillId="0" borderId="133" xfId="0" applyFont="1" applyBorder="1" applyAlignment="1">
      <alignment horizontal="left" vertical="center" wrapText="1"/>
    </xf>
    <xf numFmtId="0" fontId="3" fillId="0" borderId="133" xfId="0" applyFont="1" applyBorder="1" applyAlignment="1">
      <alignment vertical="center"/>
    </xf>
    <xf numFmtId="0" fontId="3" fillId="0" borderId="138" xfId="0" applyFont="1" applyBorder="1" applyAlignment="1">
      <alignment vertical="center"/>
    </xf>
    <xf numFmtId="0" fontId="3" fillId="0" borderId="138" xfId="0" applyFont="1" applyBorder="1" applyAlignment="1">
      <alignment vertical="center"/>
    </xf>
    <xf numFmtId="0" fontId="1" fillId="0" borderId="138" xfId="0" applyFont="1" applyBorder="1" applyAlignment="1">
      <alignment vertical="center"/>
    </xf>
    <xf numFmtId="0" fontId="3" fillId="0" borderId="135" xfId="0" applyFont="1" applyBorder="1" applyAlignment="1">
      <alignment vertical="center"/>
    </xf>
    <xf numFmtId="0" fontId="3" fillId="0" borderId="139" xfId="0" applyFont="1" applyBorder="1" applyAlignment="1">
      <alignment vertical="center"/>
    </xf>
    <xf numFmtId="0" fontId="3" fillId="0" borderId="140" xfId="0" applyFont="1" applyBorder="1" applyAlignment="1">
      <alignment vertical="center" wrapText="1"/>
    </xf>
    <xf numFmtId="0" fontId="1" fillId="0" borderId="140" xfId="0" applyFont="1" applyBorder="1" applyAlignment="1">
      <alignment horizontal="left" vertical="center" wrapText="1"/>
    </xf>
    <xf numFmtId="0" fontId="3" fillId="0" borderId="92" xfId="0" applyFont="1" applyBorder="1" applyAlignment="1">
      <alignment vertical="center"/>
    </xf>
    <xf numFmtId="49" fontId="0" fillId="0" borderId="0" xfId="0" applyNumberFormat="1" applyAlignment="1">
      <alignment vertical="center"/>
    </xf>
    <xf numFmtId="0" fontId="1" fillId="0" borderId="99" xfId="0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6" fillId="14" borderId="0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1" fillId="0" borderId="8" xfId="0" applyNumberFormat="1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/>
    </xf>
    <xf numFmtId="0" fontId="1" fillId="0" borderId="7" xfId="0" applyFont="1" applyBorder="1" applyAlignment="1">
      <alignment horizontal="left" vertical="center"/>
    </xf>
    <xf numFmtId="3" fontId="1" fillId="0" borderId="14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13" xfId="0" applyFont="1" applyBorder="1" applyAlignment="1">
      <alignment horizontal="left" vertical="center"/>
    </xf>
    <xf numFmtId="0" fontId="3" fillId="0" borderId="92" xfId="0" applyFont="1" applyBorder="1" applyAlignment="1">
      <alignment vertical="center"/>
    </xf>
    <xf numFmtId="0" fontId="1" fillId="0" borderId="92" xfId="0" applyFont="1" applyBorder="1" applyAlignment="1">
      <alignment vertical="center"/>
    </xf>
    <xf numFmtId="0" fontId="3" fillId="8" borderId="9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5" fillId="0" borderId="27" xfId="0" applyFont="1" applyBorder="1" applyAlignment="1">
      <alignment vertical="center" wrapText="1"/>
    </xf>
    <xf numFmtId="0" fontId="2" fillId="4" borderId="55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2" fillId="4" borderId="57" xfId="0" applyFont="1" applyFill="1" applyBorder="1" applyAlignment="1">
      <alignment horizontal="center" vertical="center"/>
    </xf>
    <xf numFmtId="0" fontId="2" fillId="4" borderId="59" xfId="0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7" fillId="0" borderId="58" xfId="0" applyFont="1" applyBorder="1" applyAlignment="1">
      <alignment vertical="center"/>
    </xf>
    <xf numFmtId="0" fontId="1" fillId="0" borderId="64" xfId="0" applyFont="1" applyBorder="1" applyAlignment="1">
      <alignment horizontal="center" vertical="center" wrapText="1"/>
    </xf>
    <xf numFmtId="0" fontId="15" fillId="0" borderId="62" xfId="0" applyFont="1" applyBorder="1" applyAlignment="1">
      <alignment horizontal="center" vertical="center" wrapText="1"/>
    </xf>
    <xf numFmtId="0" fontId="1" fillId="0" borderId="94" xfId="0" applyFont="1" applyBorder="1" applyAlignment="1">
      <alignment horizontal="center" vertical="center" wrapText="1"/>
    </xf>
    <xf numFmtId="0" fontId="23" fillId="0" borderId="94" xfId="0" applyFont="1" applyBorder="1" applyAlignment="1">
      <alignment horizontal="center" vertical="center"/>
    </xf>
    <xf numFmtId="0" fontId="1" fillId="0" borderId="94" xfId="0" applyFont="1" applyBorder="1" applyAlignment="1">
      <alignment horizontal="center" vertical="center"/>
    </xf>
    <xf numFmtId="0" fontId="20" fillId="0" borderId="93" xfId="0" applyFont="1" applyBorder="1" applyAlignment="1">
      <alignment horizontal="center" vertical="center"/>
    </xf>
    <xf numFmtId="0" fontId="20" fillId="0" borderId="94" xfId="0" applyFont="1" applyBorder="1" applyAlignment="1">
      <alignment horizontal="center" vertical="center"/>
    </xf>
    <xf numFmtId="0" fontId="20" fillId="0" borderId="95" xfId="0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 wrapText="1"/>
    </xf>
    <xf numFmtId="3" fontId="23" fillId="0" borderId="101" xfId="0" applyNumberFormat="1" applyFont="1" applyBorder="1" applyAlignment="1">
      <alignment horizontal="center" vertical="center"/>
    </xf>
    <xf numFmtId="3" fontId="1" fillId="0" borderId="101" xfId="0" applyNumberFormat="1" applyFont="1" applyBorder="1" applyAlignment="1">
      <alignment horizontal="center" vertical="center" wrapText="1"/>
    </xf>
    <xf numFmtId="3" fontId="23" fillId="0" borderId="103" xfId="0" applyNumberFormat="1" applyFont="1" applyBorder="1" applyAlignment="1">
      <alignment horizontal="center" vertical="center"/>
    </xf>
    <xf numFmtId="3" fontId="23" fillId="0" borderId="104" xfId="0" applyNumberFormat="1" applyFont="1" applyBorder="1" applyAlignment="1">
      <alignment horizontal="center" vertical="center"/>
    </xf>
    <xf numFmtId="3" fontId="1" fillId="0" borderId="98" xfId="0" applyNumberFormat="1" applyFont="1" applyBorder="1" applyAlignment="1">
      <alignment vertical="center" wrapText="1"/>
    </xf>
    <xf numFmtId="3" fontId="1" fillId="0" borderId="99" xfId="0" applyNumberFormat="1" applyFont="1" applyBorder="1" applyAlignment="1">
      <alignment vertical="center" wrapText="1"/>
    </xf>
    <xf numFmtId="3" fontId="1" fillId="0" borderId="101" xfId="0" applyNumberFormat="1" applyFont="1" applyBorder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3" fontId="23" fillId="0" borderId="0" xfId="0" applyNumberFormat="1" applyFont="1" applyAlignment="1">
      <alignment horizontal="center" vertical="center"/>
    </xf>
    <xf numFmtId="3" fontId="1" fillId="0" borderId="115" xfId="0" applyNumberFormat="1" applyFont="1" applyBorder="1" applyAlignment="1">
      <alignment horizontal="center" vertical="center" wrapText="1"/>
    </xf>
    <xf numFmtId="3" fontId="15" fillId="0" borderId="0" xfId="0" applyNumberFormat="1" applyFont="1" applyAlignment="1">
      <alignment vertical="center"/>
    </xf>
    <xf numFmtId="3" fontId="1" fillId="0" borderId="109" xfId="0" applyNumberFormat="1" applyFont="1" applyBorder="1" applyAlignment="1">
      <alignment vertical="center" wrapText="1"/>
    </xf>
    <xf numFmtId="3" fontId="1" fillId="0" borderId="123" xfId="0" applyNumberFormat="1" applyFont="1" applyBorder="1" applyAlignment="1">
      <alignment horizontal="center" vertical="center" wrapText="1"/>
    </xf>
    <xf numFmtId="0" fontId="23" fillId="0" borderId="123" xfId="0" applyFont="1" applyBorder="1" applyAlignment="1">
      <alignment horizontal="center" vertical="center"/>
    </xf>
    <xf numFmtId="0" fontId="23" fillId="0" borderId="124" xfId="0" applyFont="1" applyBorder="1" applyAlignment="1">
      <alignment horizontal="center" vertical="center"/>
    </xf>
    <xf numFmtId="0" fontId="23" fillId="0" borderId="125" xfId="0" applyFont="1" applyBorder="1" applyAlignment="1">
      <alignment horizontal="center" vertical="center"/>
    </xf>
    <xf numFmtId="0" fontId="1" fillId="0" borderId="133" xfId="0" applyFont="1" applyBorder="1" applyAlignment="1">
      <alignment horizontal="center" vertical="center" wrapText="1"/>
    </xf>
    <xf numFmtId="0" fontId="1" fillId="0" borderId="133" xfId="0" applyFont="1" applyBorder="1" applyAlignment="1">
      <alignment horizontal="center" vertical="center"/>
    </xf>
    <xf numFmtId="0" fontId="1" fillId="0" borderId="132" xfId="0" applyFont="1" applyBorder="1" applyAlignment="1">
      <alignment horizontal="center" vertical="center" wrapText="1"/>
    </xf>
    <xf numFmtId="0" fontId="1" fillId="0" borderId="135" xfId="0" applyFont="1" applyBorder="1" applyAlignment="1">
      <alignment horizontal="center" vertical="center"/>
    </xf>
    <xf numFmtId="0" fontId="1" fillId="0" borderId="132" xfId="0" applyFont="1" applyBorder="1" applyAlignment="1">
      <alignment horizontal="center" vertical="center"/>
    </xf>
    <xf numFmtId="0" fontId="1" fillId="0" borderId="138" xfId="0" applyFont="1" applyBorder="1" applyAlignment="1">
      <alignment horizontal="center" vertical="center" wrapText="1"/>
    </xf>
    <xf numFmtId="0" fontId="1" fillId="0" borderId="135" xfId="0" applyFont="1" applyBorder="1" applyAlignment="1">
      <alignment horizontal="center" vertical="center" wrapText="1"/>
    </xf>
    <xf numFmtId="0" fontId="15" fillId="0" borderId="135" xfId="0" applyFont="1" applyBorder="1" applyAlignment="1">
      <alignment horizontal="center" vertical="center"/>
    </xf>
    <xf numFmtId="0" fontId="15" fillId="0" borderId="132" xfId="0" applyFont="1" applyBorder="1" applyAlignment="1">
      <alignment horizontal="center" vertical="center"/>
    </xf>
    <xf numFmtId="0" fontId="15" fillId="0" borderId="134" xfId="0" applyFont="1" applyBorder="1" applyAlignment="1">
      <alignment horizontal="center" vertical="center"/>
    </xf>
    <xf numFmtId="0" fontId="15" fillId="0" borderId="133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38" fillId="0" borderId="0" xfId="0" applyFont="1" applyBorder="1" applyAlignment="1">
      <alignment vertical="center" wrapText="1"/>
    </xf>
    <xf numFmtId="0" fontId="39" fillId="0" borderId="91" xfId="0" applyFont="1" applyBorder="1" applyAlignment="1">
      <alignment horizontal="left" vertical="center" wrapText="1"/>
    </xf>
    <xf numFmtId="0" fontId="40" fillId="0" borderId="91" xfId="0" applyFont="1" applyBorder="1" applyAlignment="1">
      <alignment vertical="center" wrapText="1"/>
    </xf>
    <xf numFmtId="0" fontId="41" fillId="0" borderId="91" xfId="0" applyFont="1" applyBorder="1" applyAlignment="1">
      <alignment vertical="center" wrapText="1"/>
    </xf>
    <xf numFmtId="0" fontId="42" fillId="0" borderId="91" xfId="0" applyFont="1" applyBorder="1" applyAlignment="1">
      <alignment vertical="center" wrapText="1"/>
    </xf>
    <xf numFmtId="0" fontId="43" fillId="0" borderId="91" xfId="0" applyFont="1" applyBorder="1" applyAlignment="1">
      <alignment vertical="center" wrapText="1"/>
    </xf>
    <xf numFmtId="0" fontId="43" fillId="0" borderId="92" xfId="0" applyFont="1" applyBorder="1" applyAlignment="1">
      <alignment vertical="center"/>
    </xf>
    <xf numFmtId="0" fontId="44" fillId="0" borderId="0" xfId="0" applyFont="1" applyAlignment="1">
      <alignment vertical="center" wrapText="1"/>
    </xf>
    <xf numFmtId="0" fontId="47" fillId="0" borderId="0" xfId="0" applyFont="1" applyAlignment="1">
      <alignment vertical="center"/>
    </xf>
    <xf numFmtId="0" fontId="48" fillId="0" borderId="101" xfId="0" applyFont="1" applyBorder="1" applyAlignment="1">
      <alignment horizontal="center" vertical="center"/>
    </xf>
    <xf numFmtId="0" fontId="47" fillId="0" borderId="101" xfId="0" applyFont="1" applyBorder="1" applyAlignment="1">
      <alignment horizontal="center" vertical="center"/>
    </xf>
    <xf numFmtId="0" fontId="6" fillId="0" borderId="9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036963ba5546d2" /><Relationship Type="http://schemas.openxmlformats.org/officeDocument/2006/relationships/theme" Target="/xl/theme/theme1.xml" Id="R08b26c740fea4350" /><Relationship Type="http://schemas.openxmlformats.org/officeDocument/2006/relationships/sharedStrings" Target="/xl/sharedStrings.xml" Id="R7e246ec91e2a4c30" /><Relationship Type="http://schemas.openxmlformats.org/officeDocument/2006/relationships/worksheet" Target="/xl/worksheets/sheet1.xml" Id="R1e537fb93b9b47f6" 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0000"/>
    <outlinePr summaryBelow="0" summaryRight="0"/>
  </sheetPr>
  <sheetViews>
    <sheetView zoomScale="70" zoomScaleNormal="70" workbookViewId="0">
      <pane xSplit="2" topLeftCell="C1" activePane="topRight" state="frozen"/>
      <selection pane="topRight" activeCell="D18" sqref="D18"/>
    </sheetView>
  </sheetViews>
  <sheetFormatPr defaultColWidth="11" defaultRowHeight="15" outlineLevelRow="2" outlineLevelCol="1"/>
  <cols>
    <col min="1" max="1" width="1" customWidth="1"/>
    <col min="2" max="2" width="30.64453125" bestFit="1" customWidth="1"/>
    <col min="3" max="3" width="1"/>
    <col min="4" max="4" width="7.9375" bestFit="1" customWidth="1" outlineLevel="1"/>
    <col min="5" max="5" width="5.703125" bestFit="1" customWidth="1" outlineLevel="1"/>
    <col min="6" max="6" width="1" customWidth="1" outlineLevel="1"/>
    <col min="7" max="7" width="7.9375" bestFit="1" customWidth="1" outlineLevel="1"/>
    <col min="8" max="8" width="5.703125" bestFit="1" customWidth="1" outlineLevel="1"/>
    <col min="9" max="9" width="1" customWidth="1" outlineLevel="1"/>
    <col min="10" max="10" width="7.9375" bestFit="1" customWidth="1" outlineLevel="1"/>
    <col min="11" max="11" width="5.703125" bestFit="1" customWidth="1" outlineLevel="1"/>
    <col min="12" max="12" width="1" customWidth="1" outlineLevel="1"/>
    <col min="13" max="13" width="7.9375" bestFit="1" customWidth="1" outlineLevel="1"/>
    <col min="14" max="14" width="5.703125" bestFit="1" customWidth="1" outlineLevel="1"/>
    <col min="15" max="15" width="1" customWidth="1" outlineLevel="1"/>
    <col min="16" max="16" width="7.9375" bestFit="1" customWidth="1" outlineLevel="1"/>
    <col min="17" max="17" width="5.703125" bestFit="1" customWidth="1" outlineLevel="1"/>
    <col min="18" max="18" width="1" customWidth="1" outlineLevel="1"/>
    <col min="19" max="19" width="7.9375" bestFit="1" customWidth="1"/>
    <col min="20" max="20" width="5.703125" bestFit="1" customWidth="1"/>
    <col min="21" max="21" width="1"/>
    <col min="22" max="22" width="7.9375" bestFit="1" customWidth="1" outlineLevel="1"/>
    <col min="23" max="23" width="5.703125" bestFit="1" customWidth="1" outlineLevel="1"/>
    <col min="24" max="24" width="1" customWidth="1" outlineLevel="1"/>
    <col min="25" max="25" width="7.9375" bestFit="1" customWidth="1" outlineLevel="1"/>
    <col min="26" max="26" width="5.703125" bestFit="1" customWidth="1" outlineLevel="1"/>
    <col min="27" max="27" width="1" customWidth="1" outlineLevel="1"/>
    <col min="28" max="28" width="7.9375" bestFit="1" customWidth="1" outlineLevel="1"/>
    <col min="29" max="29" width="5.703125" bestFit="1" customWidth="1" outlineLevel="1"/>
    <col min="30" max="30" width="1" customWidth="1" outlineLevel="1"/>
    <col min="31" max="31" width="7.9375" bestFit="1" customWidth="1" outlineLevel="1"/>
    <col min="32" max="32" width="5.703125" bestFit="1" customWidth="1" outlineLevel="1"/>
    <col min="33" max="33" width="1" customWidth="1" outlineLevel="1"/>
    <col min="34" max="34" width="7.9375" bestFit="1" customWidth="1" outlineLevel="1"/>
    <col min="35" max="35" width="5.703125" bestFit="1" customWidth="1" outlineLevel="1"/>
    <col min="36" max="36" width="1" customWidth="1" outlineLevel="1"/>
    <col min="37" max="37" width="7.9375" bestFit="1" customWidth="1"/>
    <col min="38" max="38" width="5.703125" bestFit="1" customWidth="1"/>
    <col min="39" max="39" width="1"/>
    <col min="40" max="40" width="7.9375" bestFit="1" customWidth="1" outlineLevel="1"/>
    <col min="41" max="41" width="5.703125" bestFit="1" customWidth="1" outlineLevel="1"/>
    <col min="42" max="42" width="1" customWidth="1" outlineLevel="1"/>
    <col min="43" max="43" width="7.9375" bestFit="1" customWidth="1" outlineLevel="1"/>
    <col min="44" max="44" width="5.703125" bestFit="1" customWidth="1" outlineLevel="1"/>
    <col min="45" max="45" width="1" customWidth="1" outlineLevel="1"/>
    <col min="46" max="46" width="7.9375" bestFit="1" customWidth="1" outlineLevel="1"/>
    <col min="47" max="47" width="5.703125" bestFit="1" customWidth="1" outlineLevel="1"/>
    <col min="48" max="48" width="1" customWidth="1" outlineLevel="1"/>
    <col min="49" max="49" width="7.9375" bestFit="1" customWidth="1" outlineLevel="1"/>
    <col min="50" max="50" width="5.703125" bestFit="1" customWidth="1" outlineLevel="1"/>
    <col min="51" max="51" width="1" customWidth="1" outlineLevel="1"/>
    <col min="52" max="52" width="7.9375" bestFit="1" customWidth="1" outlineLevel="1"/>
    <col min="53" max="53" width="5.703125" bestFit="1" customWidth="1" outlineLevel="1"/>
    <col min="54" max="54" width="1" customWidth="1" outlineLevel="1"/>
    <col min="55" max="55" width="7.9375" bestFit="1" customWidth="1"/>
    <col min="56" max="56" width="5.703125" bestFit="1" customWidth="1"/>
    <col min="57" max="57" width="1"/>
    <col min="58" max="58" width="7.9375" bestFit="1" customWidth="1" outlineLevel="1"/>
    <col min="59" max="59" width="5.703125" bestFit="1" customWidth="1" outlineLevel="1"/>
    <col min="60" max="60" width="1" customWidth="1" outlineLevel="1"/>
    <col min="61" max="61" width="7.9375" bestFit="1" customWidth="1" outlineLevel="1"/>
    <col min="62" max="62" width="5.703125" bestFit="1" customWidth="1" outlineLevel="1"/>
    <col min="63" max="63" width="1" customWidth="1" outlineLevel="1"/>
    <col min="64" max="64" width="7.9375" bestFit="1" customWidth="1" outlineLevel="1"/>
    <col min="65" max="65" width="5.703125" bestFit="1" customWidth="1" outlineLevel="1"/>
    <col min="66" max="66" width="1" customWidth="1" outlineLevel="1"/>
    <col min="67" max="67" width="7.9375" bestFit="1" customWidth="1" outlineLevel="1"/>
    <col min="68" max="68" width="5.703125" bestFit="1" customWidth="1" outlineLevel="1"/>
    <col min="69" max="69" width="1" customWidth="1" outlineLevel="1"/>
    <col min="70" max="70" width="7.9375" bestFit="1" customWidth="1" outlineLevel="1"/>
    <col min="71" max="71" width="5.703125" bestFit="1" customWidth="1" outlineLevel="1"/>
    <col min="72" max="72" width="1" customWidth="1" outlineLevel="1"/>
    <col min="73" max="73" width="7.9375" bestFit="1" customWidth="1"/>
    <col min="74" max="74" width="5.703125" bestFit="1" customWidth="1"/>
    <col min="75" max="75" width="1"/>
    <col min="76" max="76" width="7.9375" bestFit="1" customWidth="1" outlineLevel="1"/>
    <col min="77" max="77" width="5.703125" bestFit="1" customWidth="1" outlineLevel="1"/>
    <col min="78" max="78" width="1" customWidth="1" outlineLevel="1"/>
    <col min="79" max="79" width="7.9375" bestFit="1" customWidth="1" outlineLevel="1"/>
    <col min="80" max="80" width="5.703125" bestFit="1" customWidth="1" outlineLevel="1"/>
    <col min="81" max="81" width="1" customWidth="1" outlineLevel="1"/>
    <col min="82" max="82" width="7.9375" bestFit="1" customWidth="1" outlineLevel="1"/>
    <col min="83" max="83" width="5.703125" bestFit="1" customWidth="1" outlineLevel="1"/>
    <col min="84" max="84" width="1" customWidth="1" outlineLevel="1"/>
    <col min="85" max="85" width="7.9375" bestFit="1" customWidth="1" outlineLevel="1"/>
    <col min="86" max="86" width="5.703125" bestFit="1" customWidth="1" outlineLevel="1"/>
    <col min="87" max="87" width="1" customWidth="1" outlineLevel="1"/>
    <col min="88" max="88" width="7.9375" bestFit="1" customWidth="1" outlineLevel="1"/>
    <col min="89" max="89" width="5.703125" bestFit="1" customWidth="1" outlineLevel="1"/>
    <col min="90" max="90" width="1" customWidth="1" outlineLevel="1"/>
    <col min="91" max="91" width="7.9375" bestFit="1" customWidth="1"/>
    <col min="92" max="92" width="5.703125" bestFit="1" customWidth="1"/>
    <col min="93" max="93" width="1"/>
    <col min="94" max="94" width="7.9375" bestFit="1" customWidth="1" outlineLevel="1"/>
    <col min="95" max="95" width="5.703125" bestFit="1" customWidth="1" outlineLevel="1"/>
    <col min="96" max="96" width="1" customWidth="1" outlineLevel="1"/>
    <col min="97" max="97" width="7.9375" bestFit="1" customWidth="1" outlineLevel="1"/>
    <col min="98" max="98" width="5.703125" bestFit="1" customWidth="1" outlineLevel="1"/>
    <col min="99" max="99" width="1" customWidth="1" outlineLevel="1"/>
    <col min="100" max="100" width="7.9375" bestFit="1" customWidth="1" outlineLevel="1"/>
    <col min="101" max="101" width="5.703125" bestFit="1" customWidth="1" outlineLevel="1"/>
    <col min="102" max="102" width="1" customWidth="1" outlineLevel="1"/>
    <col min="103" max="103" width="7.9375" bestFit="1" customWidth="1" outlineLevel="1"/>
    <col min="104" max="104" width="5.703125" bestFit="1" customWidth="1" outlineLevel="1"/>
    <col min="105" max="105" width="1" customWidth="1" outlineLevel="1"/>
    <col min="106" max="106" width="7.9375" bestFit="1" customWidth="1" outlineLevel="1"/>
    <col min="107" max="107" width="5.703125" bestFit="1" customWidth="1" outlineLevel="1"/>
    <col min="108" max="108" width="1" customWidth="1"/>
    <col min="109" max="109" width="7.9375" bestFit="1" customWidth="1"/>
    <col min="110" max="110" width="5.703125" bestFit="1" customWidth="1"/>
    <col min="111" max="111" width="1" customWidth="1"/>
  </cols>
  <sheetData>
    <row r="1" spans="1:111">
      <c s="313" r="A1"/>
      <c s="938" r="B1" t="str">
        <v>XX项目经济性-现状</v>
      </c>
      <c s="938" r="C1"/>
      <c s="938" r="D1"/>
      <c s="938" r="E1"/>
      <c s="938" r="F1"/>
      <c s="938" r="G1"/>
      <c s="938" r="H1"/>
      <c s="938" r="I1"/>
      <c s="938" r="J1"/>
      <c s="938" r="K1"/>
      <c s="938" r="L1"/>
      <c s="938" r="M1"/>
      <c s="938" r="N1"/>
      <c s="938" r="O1"/>
      <c s="938" r="P1"/>
      <c s="938" r="Q1"/>
      <c s="938" r="R1"/>
      <c s="938" r="S1"/>
      <c s="938" r="T1"/>
      <c s="938" r="U1"/>
      <c s="938" r="V1"/>
      <c s="938" r="W1"/>
      <c s="938" r="X1"/>
      <c s="938" r="Y1"/>
      <c s="938" r="Z1"/>
      <c s="938" r="AA1"/>
      <c s="938" r="AB1"/>
      <c s="938" r="AC1"/>
      <c s="938" r="AD1"/>
      <c s="938" r="AE1"/>
      <c s="938" r="AF1"/>
      <c s="938" r="AG1"/>
      <c s="938" r="AH1"/>
      <c s="938" r="AI1"/>
      <c s="938" r="AJ1"/>
      <c s="938" r="AK1"/>
      <c s="938" r="AL1"/>
      <c s="938" r="AM1"/>
      <c s="938" r="AN1"/>
      <c s="938" r="AO1"/>
      <c s="938" r="AP1"/>
      <c s="938" r="AQ1"/>
      <c s="938" r="AR1"/>
      <c s="938" r="AS1"/>
      <c s="938" r="AT1"/>
      <c s="938" r="AU1"/>
      <c s="938" r="AV1"/>
      <c s="938" r="AW1"/>
      <c s="938" r="AX1"/>
      <c s="938" r="AY1"/>
      <c s="938" r="AZ1"/>
      <c s="938" r="BA1"/>
      <c s="938" r="BB1"/>
      <c s="938" r="BC1"/>
      <c s="938" r="BD1"/>
      <c s="938" r="BE1"/>
      <c s="938" r="BF1"/>
      <c s="938" r="BG1"/>
      <c s="938" r="BH1"/>
      <c s="938" r="BI1"/>
      <c s="938" r="BJ1"/>
      <c s="938" r="BK1"/>
      <c s="938" r="BL1"/>
      <c s="938" r="BM1"/>
      <c s="938" r="BN1"/>
      <c s="938" r="BO1"/>
      <c s="938" r="BP1"/>
      <c s="938" r="BQ1"/>
      <c s="938" r="BR1"/>
      <c s="938" r="BS1"/>
      <c s="938" r="BT1"/>
      <c s="938" r="BU1"/>
      <c s="938" r="BV1"/>
      <c s="938" r="BW1"/>
      <c s="938" r="BX1"/>
      <c s="938" r="BY1"/>
      <c s="938" r="BZ1"/>
      <c s="938" r="CA1"/>
      <c s="938" r="CB1"/>
      <c s="938" r="CC1"/>
      <c s="938" r="CD1"/>
      <c s="938" r="CE1"/>
      <c s="938" r="CF1"/>
      <c s="938" r="CG1"/>
      <c s="938" r="CH1"/>
      <c s="938" r="CI1"/>
      <c s="938" r="CJ1"/>
      <c s="938" r="CK1"/>
      <c s="938" r="CL1"/>
      <c s="938" r="CM1"/>
      <c s="938" r="CN1"/>
      <c s="938" r="CO1"/>
      <c s="938" r="CP1"/>
      <c s="938" r="CQ1"/>
      <c s="938" r="CR1"/>
      <c s="938" r="CS1"/>
      <c s="938" r="CT1"/>
      <c s="938" r="CU1"/>
      <c s="938" r="CV1"/>
      <c s="938" r="CW1"/>
      <c s="938" r="CX1"/>
      <c s="938" r="CY1"/>
      <c s="938" r="CZ1"/>
      <c s="938" r="DA1"/>
      <c s="938" r="DB1"/>
      <c s="938" r="DC1"/>
      <c s="938" r="DD1"/>
      <c s="938" r="DE1"/>
      <c s="938" r="DF1"/>
      <c s="938" r="DG1"/>
    </row>
    <row r="2" spans="1:111">
      <c s="314" r="A2"/>
      <c s="315" r="B2"/>
      <c s="316" r="C2"/>
      <c s="936" r="D2" t="str">
        <v>SOP年-现状</v>
      </c>
      <c s="936" r="E2"/>
      <c s="936" r="F2"/>
      <c s="936" r="G2"/>
      <c s="936" r="H2"/>
      <c s="936" r="I2"/>
      <c s="936" r="J2"/>
      <c s="936" r="K2"/>
      <c s="936" r="L2"/>
      <c s="936" r="M2"/>
      <c s="936" r="N2"/>
      <c s="936" r="O2"/>
      <c s="936" r="P2"/>
      <c s="936" r="Q2"/>
      <c s="936" r="R2"/>
      <c s="936" r="S2"/>
      <c s="936" r="T2"/>
      <c s="318" r="U2"/>
      <c s="936" r="V2" t="str">
        <v>SOP+1年-现状</v>
      </c>
      <c s="936" r="W2"/>
      <c s="936" r="X2"/>
      <c s="936" r="Y2"/>
      <c s="936" r="Z2"/>
      <c s="936" r="AA2"/>
      <c s="936" r="AB2"/>
      <c s="936" r="AC2"/>
      <c s="936" r="AD2"/>
      <c s="936" r="AE2"/>
      <c s="936" r="AF2"/>
      <c s="936" r="AG2"/>
      <c s="936" r="AH2"/>
      <c s="936" r="AI2"/>
      <c s="936" r="AJ2"/>
      <c s="936" r="AK2"/>
      <c s="936" r="AL2"/>
      <c s="318" r="AM2"/>
      <c s="936" r="AN2" t="str">
        <v>SOP+2年-现状</v>
      </c>
      <c s="936" r="AO2"/>
      <c s="936" r="AP2"/>
      <c s="936" r="AQ2"/>
      <c s="936" r="AR2"/>
      <c s="936" r="AS2"/>
      <c s="936" r="AT2"/>
      <c s="936" r="AU2"/>
      <c s="936" r="AV2"/>
      <c s="936" r="AW2"/>
      <c s="936" r="AX2"/>
      <c s="936" r="AY2"/>
      <c s="936" r="AZ2"/>
      <c s="936" r="BA2"/>
      <c s="936" r="BB2"/>
      <c s="936" r="BC2"/>
      <c s="936" r="BD2"/>
      <c s="318" r="BE2"/>
      <c s="936" r="BF2" t="str">
        <v>SOP+3年-现状</v>
      </c>
      <c s="936" r="BG2"/>
      <c s="936" r="BH2"/>
      <c s="936" r="BI2"/>
      <c s="936" r="BJ2"/>
      <c s="936" r="BK2"/>
      <c s="936" r="BL2"/>
      <c s="936" r="BM2"/>
      <c s="936" r="BN2"/>
      <c s="936" r="BO2"/>
      <c s="936" r="BP2"/>
      <c s="936" r="BQ2"/>
      <c s="936" r="BR2"/>
      <c s="936" r="BS2"/>
      <c s="936" r="BT2"/>
      <c s="936" r="BU2"/>
      <c s="936" r="BV2"/>
      <c s="318" r="BW2"/>
      <c s="936" r="BX2" t="str">
        <v>SOP+4年-现状</v>
      </c>
      <c s="936" r="BY2"/>
      <c s="936" r="BZ2"/>
      <c s="936" r="CA2"/>
      <c s="936" r="CB2"/>
      <c s="936" r="CC2"/>
      <c s="936" r="CD2"/>
      <c s="936" r="CE2"/>
      <c s="936" r="CF2"/>
      <c s="936" r="CG2"/>
      <c s="936" r="CH2"/>
      <c s="936" r="CI2"/>
      <c s="936" r="CJ2"/>
      <c s="936" r="CK2"/>
      <c s="936" r="CL2"/>
      <c s="936" r="CM2"/>
      <c s="936" r="CN2"/>
      <c s="319" r="CO2"/>
      <c s="936" r="CP2" t="str">
        <v>全生命周期-现状</v>
      </c>
      <c s="936" r="CQ2"/>
      <c s="936" r="CR2"/>
      <c s="936" r="CS2"/>
      <c s="936" r="CT2"/>
      <c s="936" r="CU2"/>
      <c s="936" r="CV2"/>
      <c s="936" r="CW2"/>
      <c s="936" r="CX2"/>
      <c s="936" r="CY2"/>
      <c s="936" r="CZ2"/>
      <c s="936" r="DA2"/>
      <c s="936" r="DB2"/>
      <c s="936" r="DC2"/>
      <c s="317" r="DD2"/>
      <c s="937" r="DE2" t="str">
        <v>全生命周期</v>
      </c>
      <c s="937" r="DF2"/>
      <c s="320" r="DG2"/>
    </row>
    <row r="3" spans="1:111">
      <c s="321" r="A3"/>
      <c s="322" r="B3"/>
      <c s="323" r="C3"/>
      <c s="935" r="D3" t="str">
        <v>单车测算结果</v>
      </c>
      <c s="935" r="E3"/>
      <c s="935" r="F3"/>
      <c s="935" r="G3"/>
      <c s="935" r="H3"/>
      <c s="935" r="I3"/>
      <c s="935" r="J3"/>
      <c s="935" r="K3"/>
      <c s="935" r="L3"/>
      <c s="935" r="M3"/>
      <c s="935" r="N3"/>
      <c s="935" r="O3"/>
      <c s="935" r="P3"/>
      <c s="935" r="Q3"/>
      <c s="935" r="R3"/>
      <c s="935" r="S3"/>
      <c s="935" r="T3"/>
      <c s="324" r="U3"/>
      <c s="935" r="V3" t="str">
        <v>单车测算结果</v>
      </c>
      <c s="935" r="W3"/>
      <c s="935" r="X3"/>
      <c s="935" r="Y3"/>
      <c s="935" r="Z3"/>
      <c s="935" r="AA3"/>
      <c s="935" r="AB3"/>
      <c s="935" r="AC3"/>
      <c s="935" r="AD3"/>
      <c s="935" r="AE3"/>
      <c s="935" r="AF3"/>
      <c s="935" r="AG3"/>
      <c s="935" r="AH3"/>
      <c s="935" r="AI3"/>
      <c s="935" r="AJ3"/>
      <c s="935" r="AK3"/>
      <c s="935" r="AL3"/>
      <c s="324" r="AM3"/>
      <c s="935" r="AN3" t="str">
        <v>单车测算结果</v>
      </c>
      <c s="935" r="AO3"/>
      <c s="935" r="AP3"/>
      <c s="935" r="AQ3"/>
      <c s="935" r="AR3"/>
      <c s="935" r="AS3"/>
      <c s="935" r="AT3"/>
      <c s="935" r="AU3"/>
      <c s="935" r="AV3"/>
      <c s="935" r="AW3"/>
      <c s="935" r="AX3"/>
      <c s="935" r="AY3"/>
      <c s="935" r="AZ3"/>
      <c s="935" r="BA3"/>
      <c s="935" r="BB3"/>
      <c s="935" r="BC3"/>
      <c s="935" r="BD3"/>
      <c s="324" r="BE3"/>
      <c s="935" r="BF3" t="str">
        <v>单车测算结果</v>
      </c>
      <c s="935" r="BG3"/>
      <c s="935" r="BH3"/>
      <c s="935" r="BI3"/>
      <c s="935" r="BJ3"/>
      <c s="935" r="BK3"/>
      <c s="935" r="BL3"/>
      <c s="935" r="BM3"/>
      <c s="935" r="BN3"/>
      <c s="935" r="BO3"/>
      <c s="935" r="BP3"/>
      <c s="935" r="BQ3"/>
      <c s="935" r="BR3"/>
      <c s="935" r="BS3"/>
      <c s="935" r="BT3"/>
      <c s="935" r="BU3"/>
      <c s="935" r="BV3"/>
      <c s="324" r="BW3"/>
      <c s="935" r="BX3" t="str">
        <v>单车测算结果</v>
      </c>
      <c s="935" r="BY3"/>
      <c s="935" r="BZ3"/>
      <c s="935" r="CA3"/>
      <c s="935" r="CB3"/>
      <c s="935" r="CC3"/>
      <c s="935" r="CD3"/>
      <c s="935" r="CE3"/>
      <c s="935" r="CF3"/>
      <c s="935" r="CG3"/>
      <c s="935" r="CH3"/>
      <c s="935" r="CI3"/>
      <c s="935" r="CJ3"/>
      <c s="935" r="CK3"/>
      <c s="935" r="CL3"/>
      <c s="935" r="CM3"/>
      <c s="935" r="CN3"/>
      <c s="325" r="CO3"/>
      <c s="935" r="CP3" t="str">
        <v>按车型测算结果</v>
      </c>
      <c s="935" r="CQ3"/>
      <c s="935" r="CR3"/>
      <c s="935" r="CS3"/>
      <c s="935" r="CT3"/>
      <c s="935" r="CU3"/>
      <c s="935" r="CV3"/>
      <c s="935" r="CW3"/>
      <c s="935" r="CX3"/>
      <c s="935" r="CY3"/>
      <c s="935" r="CZ3"/>
      <c s="935" r="DA3"/>
      <c s="935" r="DB3"/>
      <c s="935" r="DC3"/>
      <c s="326" r="DD3"/>
      <c s="937" r="DE3"/>
      <c s="937" r="DF3"/>
      <c s="327" r="DG3"/>
    </row>
    <row r="4" spans="1:111">
      <c s="321" r="A4"/>
      <c s="322" r="B4"/>
      <c s="323" r="C4"/>
      <c s="935" r="D4" t="str">
        <v>车型A</v>
      </c>
      <c s="935" r="E4"/>
      <c s="328" r="F4"/>
      <c s="935" r="G4" t="str">
        <v>车型B</v>
      </c>
      <c s="935" r="H4"/>
      <c s="328" r="I4"/>
      <c s="935" r="J4" t="str">
        <v>车型C</v>
      </c>
      <c s="935" r="K4"/>
      <c s="328" r="L4"/>
      <c s="935" r="M4" t="str">
        <v>车型D</v>
      </c>
      <c s="935" r="N4"/>
      <c s="328" r="O4"/>
      <c s="935" r="P4" t="str">
        <v>车型E</v>
      </c>
      <c s="935" r="Q4"/>
      <c s="329" r="R4"/>
      <c s="935" r="S4" t="str">
        <v>Average</v>
      </c>
      <c s="935" r="T4"/>
      <c s="324" r="U4"/>
      <c s="935" r="V4" t="str">
        <v>车型A</v>
      </c>
      <c s="935" r="W4"/>
      <c s="328" r="X4"/>
      <c s="935" r="Y4" t="str">
        <v>车型B</v>
      </c>
      <c s="935" r="Z4"/>
      <c s="328" r="AA4"/>
      <c s="935" r="AB4" t="str">
        <v>车型C</v>
      </c>
      <c s="935" r="AC4"/>
      <c s="328" r="AD4"/>
      <c s="935" r="AE4" t="str">
        <v>车型D</v>
      </c>
      <c s="935" r="AF4"/>
      <c s="328" r="AG4"/>
      <c s="935" r="AH4" t="str">
        <v>车型E</v>
      </c>
      <c s="935" r="AI4"/>
      <c s="329" r="AJ4"/>
      <c s="935" r="AK4" t="str">
        <v>Average</v>
      </c>
      <c s="935" r="AL4"/>
      <c s="324" r="AM4"/>
      <c s="935" r="AN4" t="str">
        <v>车型A</v>
      </c>
      <c s="935" r="AO4"/>
      <c s="328" r="AP4"/>
      <c s="935" r="AQ4" t="str">
        <v>车型B</v>
      </c>
      <c s="935" r="AR4"/>
      <c s="328" r="AS4"/>
      <c s="935" r="AT4" t="str">
        <v>车型C</v>
      </c>
      <c s="935" r="AU4"/>
      <c s="328" r="AV4"/>
      <c s="935" r="AW4" t="str">
        <v>车型D</v>
      </c>
      <c s="935" r="AX4"/>
      <c s="328" r="AY4"/>
      <c s="935" r="AZ4" t="str">
        <v>车型E</v>
      </c>
      <c s="935" r="BA4"/>
      <c s="329" r="BB4"/>
      <c s="935" r="BC4" t="str">
        <v>Average</v>
      </c>
      <c s="935" r="BD4"/>
      <c s="324" r="BE4"/>
      <c s="935" r="BF4" t="str">
        <v>车型A</v>
      </c>
      <c s="935" r="BG4"/>
      <c s="328" r="BH4"/>
      <c s="935" r="BI4" t="str">
        <v>车型B</v>
      </c>
      <c s="935" r="BJ4"/>
      <c s="328" r="BK4"/>
      <c s="935" r="BL4" t="str">
        <v>车型C</v>
      </c>
      <c s="935" r="BM4"/>
      <c s="328" r="BN4"/>
      <c s="935" r="BO4" t="str">
        <v>车型D</v>
      </c>
      <c s="935" r="BP4"/>
      <c s="328" r="BQ4"/>
      <c s="935" r="BR4" t="str">
        <v>车型E</v>
      </c>
      <c s="935" r="BS4"/>
      <c s="329" r="BT4"/>
      <c s="935" r="BU4" t="str">
        <v>Average</v>
      </c>
      <c s="935" r="BV4"/>
      <c s="324" r="BW4"/>
      <c s="935" r="BX4" t="str">
        <v>车型A</v>
      </c>
      <c s="935" r="BY4"/>
      <c s="328" r="BZ4"/>
      <c s="935" r="CA4" t="str">
        <v>车型B</v>
      </c>
      <c s="935" r="CB4"/>
      <c s="328" r="CC4"/>
      <c s="935" r="CD4" t="str">
        <v>车型C</v>
      </c>
      <c s="935" r="CE4"/>
      <c s="328" r="CF4"/>
      <c s="935" r="CG4" t="str">
        <v>车型D</v>
      </c>
      <c s="935" r="CH4"/>
      <c s="328" r="CI4"/>
      <c s="935" r="CJ4" t="str">
        <v>车型E</v>
      </c>
      <c s="935" r="CK4"/>
      <c s="329" r="CL4"/>
      <c s="935" r="CM4" t="str">
        <v>Average</v>
      </c>
      <c s="935" r="CN4"/>
      <c s="325" r="CO4"/>
      <c s="935" r="CP4" t="str">
        <v>车型A</v>
      </c>
      <c s="935" r="CQ4"/>
      <c s="328" r="CR4"/>
      <c s="935" r="CS4" t="str">
        <v>车型B</v>
      </c>
      <c s="935" r="CT4"/>
      <c s="328" r="CU4"/>
      <c s="935" r="CV4" t="str">
        <v>车型C</v>
      </c>
      <c s="935" r="CW4"/>
      <c s="328" r="CX4"/>
      <c s="935" r="CY4" t="str">
        <v>车型D</v>
      </c>
      <c s="935" r="CZ4"/>
      <c s="328" r="DA4"/>
      <c s="935" r="DB4" t="str">
        <v>车型E</v>
      </c>
      <c s="935" r="DC4"/>
      <c s="329" r="DD4"/>
      <c s="935" r="DE4" t="str">
        <v>Average</v>
      </c>
      <c s="935" r="DF4"/>
      <c s="330" r="DG4"/>
    </row>
    <row r="5" spans="1:111" ht="25.5">
      <c s="321" r="A5"/>
      <c s="322" r="B5"/>
      <c s="331" r="C5"/>
      <c s="332" r="D5" t="str">
        <v>单车（元）</v>
      </c>
      <c s="332" r="E5" t="str">
        <v>%收入</v>
      </c>
      <c s="333" r="F5"/>
      <c s="332" r="G5" t="str">
        <v>单车（元）</v>
      </c>
      <c s="332" r="H5" t="str">
        <v>%收入</v>
      </c>
      <c s="333" r="I5"/>
      <c s="332" r="J5" t="str">
        <v>单车（元）</v>
      </c>
      <c s="332" r="K5" t="str">
        <v>%收入</v>
      </c>
      <c s="333" r="L5"/>
      <c s="332" r="M5" t="str">
        <v>单车（元）</v>
      </c>
      <c s="332" r="N5" t="str">
        <v>%收入</v>
      </c>
      <c s="333" r="O5"/>
      <c s="332" r="P5" t="str">
        <v>单车（元）</v>
      </c>
      <c s="332" r="Q5" t="str">
        <v>%收入</v>
      </c>
      <c s="334" r="R5"/>
      <c s="332" r="S5" t="str">
        <v>单车（元）</v>
      </c>
      <c s="332" r="T5" t="str">
        <v>%收入</v>
      </c>
      <c s="324" r="U5"/>
      <c s="332" r="V5" t="str">
        <v>单车（元）</v>
      </c>
      <c s="332" r="W5" t="str">
        <v>%收入</v>
      </c>
      <c s="333" r="X5"/>
      <c s="332" r="Y5" t="str">
        <v>单车（元）</v>
      </c>
      <c s="332" r="Z5" t="str">
        <v>%收入</v>
      </c>
      <c s="333" r="AA5"/>
      <c s="332" r="AB5" t="str">
        <v>单车（元）</v>
      </c>
      <c s="332" r="AC5" t="str">
        <v>%收入</v>
      </c>
      <c s="333" r="AD5"/>
      <c s="332" r="AE5" t="str">
        <v>单车（元）</v>
      </c>
      <c s="332" r="AF5" t="str">
        <v>%收入</v>
      </c>
      <c s="333" r="AG5"/>
      <c s="332" r="AH5" t="str">
        <v>单车（元）</v>
      </c>
      <c s="332" r="AI5" t="str">
        <v>%收入</v>
      </c>
      <c s="334" r="AJ5"/>
      <c s="332" r="AK5" t="str">
        <v>单车（元）</v>
      </c>
      <c s="332" r="AL5" t="str">
        <v>%收入</v>
      </c>
      <c s="324" r="AM5"/>
      <c s="332" r="AN5" t="str">
        <v>单车（元）</v>
      </c>
      <c s="332" r="AO5" t="str">
        <v>%收入</v>
      </c>
      <c s="333" r="AP5"/>
      <c s="332" r="AQ5" t="str">
        <v>单车（元）</v>
      </c>
      <c s="332" r="AR5" t="str">
        <v>%收入</v>
      </c>
      <c s="333" r="AS5"/>
      <c s="332" r="AT5" t="str">
        <v>单车（元）</v>
      </c>
      <c s="332" r="AU5" t="str">
        <v>%收入</v>
      </c>
      <c s="333" r="AV5"/>
      <c s="332" r="AW5" t="str">
        <v>单车（元）</v>
      </c>
      <c s="332" r="AX5" t="str">
        <v>%收入</v>
      </c>
      <c s="333" r="AY5"/>
      <c s="332" r="AZ5" t="str">
        <v>单车（元）</v>
      </c>
      <c s="332" r="BA5" t="str">
        <v>%收入</v>
      </c>
      <c s="334" r="BB5"/>
      <c s="332" r="BC5" t="str">
        <v>单车（元）</v>
      </c>
      <c s="332" r="BD5" t="str">
        <v>%收入</v>
      </c>
      <c s="324" r="BE5"/>
      <c s="332" r="BF5" t="str">
        <v>单车（元）</v>
      </c>
      <c s="332" r="BG5" t="str">
        <v>%收入</v>
      </c>
      <c s="333" r="BH5"/>
      <c s="332" r="BI5" t="str">
        <v>单车（元）</v>
      </c>
      <c s="332" r="BJ5" t="str">
        <v>%收入</v>
      </c>
      <c s="333" r="BK5"/>
      <c s="332" r="BL5" t="str">
        <v>单车（元）</v>
      </c>
      <c s="332" r="BM5" t="str">
        <v>%收入</v>
      </c>
      <c s="333" r="BN5"/>
      <c s="332" r="BO5" t="str">
        <v>单车（元）</v>
      </c>
      <c s="332" r="BP5" t="str">
        <v>%收入</v>
      </c>
      <c s="333" r="BQ5"/>
      <c s="332" r="BR5" t="str">
        <v>单车（元）</v>
      </c>
      <c s="332" r="BS5" t="str">
        <v>%收入</v>
      </c>
      <c s="334" r="BT5"/>
      <c s="332" r="BU5" t="str">
        <v>单车（元）</v>
      </c>
      <c s="332" r="BV5" t="str">
        <v>%收入</v>
      </c>
      <c s="324" r="BW5"/>
      <c s="332" r="BX5" t="str">
        <v>单车（元）</v>
      </c>
      <c s="332" r="BY5" t="str">
        <v>%收入</v>
      </c>
      <c s="333" r="BZ5"/>
      <c s="332" r="CA5" t="str">
        <v>单车（元）</v>
      </c>
      <c s="332" r="CB5" t="str">
        <v>%收入</v>
      </c>
      <c s="333" r="CC5"/>
      <c s="332" r="CD5" t="str">
        <v>单车（元）</v>
      </c>
      <c s="332" r="CE5" t="str">
        <v>%收入</v>
      </c>
      <c s="333" r="CF5"/>
      <c s="332" r="CG5" t="str">
        <v>单车（元）</v>
      </c>
      <c s="332" r="CH5" t="str">
        <v>%收入</v>
      </c>
      <c s="333" r="CI5"/>
      <c s="332" r="CJ5" t="str">
        <v>单车（元）</v>
      </c>
      <c s="332" r="CK5" t="str">
        <v>%收入</v>
      </c>
      <c s="334" r="CL5"/>
      <c s="332" r="CM5" t="str">
        <v>单车（元）</v>
      </c>
      <c s="332" r="CN5" t="str">
        <v>%收入</v>
      </c>
      <c s="325" r="CO5"/>
      <c s="332" r="CP5" t="str">
        <v>单车（元）</v>
      </c>
      <c s="332" r="CQ5" t="str">
        <v>%收入</v>
      </c>
      <c s="326" r="CR5"/>
      <c s="332" r="CS5" t="str">
        <v>单车（元）</v>
      </c>
      <c s="332" r="CT5" t="str">
        <v>%收入</v>
      </c>
      <c s="326" r="CU5"/>
      <c s="332" r="CV5" t="str">
        <v>单车（元）</v>
      </c>
      <c s="332" r="CW5" t="str">
        <v>%收入</v>
      </c>
      <c s="326" r="CX5"/>
      <c s="332" r="CY5" t="str">
        <v>单车（元）</v>
      </c>
      <c s="332" r="CZ5" t="str">
        <v>%收入</v>
      </c>
      <c s="326" r="DA5"/>
      <c s="332" r="DB5" t="str">
        <v>单车（元）</v>
      </c>
      <c s="332" r="DC5" t="str">
        <v>%收入</v>
      </c>
      <c s="326" r="DD5"/>
      <c s="332" r="DE5" t="str">
        <v>单车（元）</v>
      </c>
      <c s="332" r="DF5" t="str">
        <v>%收入</v>
      </c>
      <c s="335" r="DG5"/>
    </row>
    <row r="6" spans="1:111">
      <c s="321" r="A6"/>
      <c s="322" r="B6" t="str">
        <v>Sales · 销量</v>
      </c>
      <c s="336" r="C6"/>
      <c s="337" r="D6"/>
      <c s="338" r="E6"/>
      <c s="339" r="F6"/>
      <c s="337" r="G6"/>
      <c s="338" r="H6"/>
      <c s="339" r="I6"/>
      <c s="337" r="J6"/>
      <c s="338" r="K6"/>
      <c s="339" r="L6"/>
      <c s="337" r="M6"/>
      <c s="338" r="N6"/>
      <c s="339" r="O6"/>
      <c s="337" r="P6"/>
      <c s="338" r="Q6"/>
      <c s="324" r="R6"/>
      <c s="338" r="S6" t="n">
        <f>SUM(D6,G6,J6,M6,P6)</f>
        <v>0</v>
      </c>
      <c s="338" r="T6"/>
      <c s="324" r="U6"/>
      <c s="337" r="V6"/>
      <c s="338" r="W6"/>
      <c s="339" r="X6"/>
      <c s="337" r="Y6"/>
      <c s="338" r="Z6"/>
      <c s="339" r="AA6"/>
      <c s="337" r="AB6"/>
      <c s="338" r="AC6"/>
      <c s="339" r="AD6"/>
      <c s="337" r="AE6"/>
      <c s="338" r="AF6"/>
      <c s="339" r="AG6"/>
      <c s="337" r="AH6"/>
      <c s="338" r="AI6"/>
      <c s="324" r="AJ6"/>
      <c s="338" r="AK6" t="n">
        <f>SUM(V6,Y6,AB6,AE6,AH6)</f>
        <v>0</v>
      </c>
      <c s="338" r="AL6"/>
      <c s="324" r="AM6"/>
      <c s="337" r="AN6"/>
      <c s="338" r="AO6"/>
      <c s="339" r="AP6"/>
      <c s="337" r="AQ6"/>
      <c s="338" r="AR6"/>
      <c s="339" r="AS6"/>
      <c s="337" r="AT6"/>
      <c s="338" r="AU6"/>
      <c s="339" r="AV6"/>
      <c s="337" r="AW6"/>
      <c s="338" r="AX6"/>
      <c s="339" r="AY6"/>
      <c s="337" r="AZ6"/>
      <c s="338" r="BA6"/>
      <c s="324" r="BB6"/>
      <c s="338" r="BC6" t="n">
        <f>SUM(AN6,AQ6,AT6,AW6,AZ6)</f>
        <v>0</v>
      </c>
      <c s="338" r="BD6"/>
      <c s="324" r="BE6"/>
      <c s="337" r="BF6"/>
      <c s="338" r="BG6"/>
      <c s="339" r="BH6"/>
      <c s="337" r="BI6"/>
      <c s="338" r="BJ6"/>
      <c s="339" r="BK6"/>
      <c s="337" r="BL6"/>
      <c s="338" r="BM6"/>
      <c s="339" r="BN6"/>
      <c s="337" r="BO6"/>
      <c s="338" r="BP6"/>
      <c s="339" r="BQ6"/>
      <c s="337" r="BR6"/>
      <c s="338" r="BS6"/>
      <c s="324" r="BT6"/>
      <c s="338" r="BU6" t="n">
        <f>SUM(BF6,BI6,BL6,BO6,BR6)</f>
        <v>0</v>
      </c>
      <c s="338" r="BV6"/>
      <c s="324" r="BW6"/>
      <c s="337" r="BX6"/>
      <c s="338" r="BY6"/>
      <c s="339" r="BZ6"/>
      <c s="337" r="CA6"/>
      <c s="338" r="CB6"/>
      <c s="339" r="CC6"/>
      <c s="337" r="CD6"/>
      <c s="338" r="CE6"/>
      <c s="339" r="CF6"/>
      <c s="337" r="CG6"/>
      <c s="338" r="CH6"/>
      <c s="339" r="CI6"/>
      <c s="337" r="CJ6"/>
      <c s="338" r="CK6"/>
      <c s="324" r="CL6"/>
      <c s="338" r="CM6" t="n">
        <f>SUM(BX6,CA6,CD6,CG6,CJ6)</f>
        <v>0</v>
      </c>
      <c s="338" r="CN6"/>
      <c s="325" r="CO6"/>
      <c s="338" r="CP6" t="n">
        <f>SUM(D6,V6,AN6,BF6,BX6)</f>
        <v>0</v>
      </c>
      <c s="338" r="CQ6"/>
      <c s="326" r="CR6"/>
      <c s="338" r="CS6" t="n">
        <f>SUM(G6,Y6,AQ6,BI6,CA6)</f>
        <v>0</v>
      </c>
      <c s="338" r="CT6"/>
      <c s="338" r="CU6"/>
      <c s="338" r="CV6" t="n">
        <f>SUM(J6,AB6,AT6,BL6,CD6)</f>
        <v>0</v>
      </c>
      <c s="338" r="CW6"/>
      <c s="338" r="CX6"/>
      <c s="338" r="CY6" t="n">
        <f>SUM(M6,AE6,AW6,BO6,CG6)</f>
        <v>0</v>
      </c>
      <c s="338" r="CZ6"/>
      <c s="338" r="DA6"/>
      <c s="338" r="DB6" t="n">
        <f>SUM(P6,AH6,AZ6,BR6,CJ6)</f>
        <v>0</v>
      </c>
      <c s="338" r="DC6"/>
      <c s="338" r="DD6"/>
      <c s="338" r="DE6" t="n">
        <f>SUM(S6,AK6,BC6,BU6,CM6)</f>
        <v>0</v>
      </c>
      <c s="338" r="DF6"/>
      <c s="340" r="DG6"/>
    </row>
    <row r="7" spans="1:111">
      <c s="321" r="A7"/>
      <c s="322" r="B7" t="str">
        <v>MIX · 销量占比</v>
      </c>
      <c s="341" r="C7"/>
      <c s="342" r="D7" t="n">
        <f>IF(SUM($D$6,$G$6,$J$6,$M$6,$P$6)=0,0,D6/SUM($D$6,$G$6,$J$6,$M$6,$P$6))</f>
        <v>0</v>
      </c>
      <c s="325" r="E7"/>
      <c s="339" r="F7"/>
      <c s="342" r="G7" t="n">
        <f>IF(SUM($D$6,$G$6,$J$6,$M$6,$P$6)=0,0,G6/SUM($D$6,$G$6,$J$6,$M$6,$P$6))</f>
        <v>0</v>
      </c>
      <c s="325" r="H7"/>
      <c s="339" r="I7"/>
      <c s="342" r="J7" t="n">
        <f>IF(SUM($D$6,$G$6,$J$6,$M$6,$P$6)=0,0,J6/SUM($D$6,$G$6,$J$6,$M$6,$P$6))</f>
        <v>0</v>
      </c>
      <c s="325" r="K7"/>
      <c s="339" r="L7"/>
      <c s="342" r="M7" t="n">
        <f>IF(SUM($D$6,$G$6,$J$6,$M$6,$P$6)=0,0,M6/SUM($D$6,$G$6,$J$6,$M$6,$P$6))</f>
        <v>0</v>
      </c>
      <c s="325" r="N7"/>
      <c s="339" r="O7"/>
      <c s="325" r="P7" t="n">
        <f>IF(SUM($D$6,$G$6,$J$6,$M$6,$P$6)=0,0,P6/SUM($D$6,$G$6,$J$6,$M$6,$P$6))</f>
        <v>0</v>
      </c>
      <c s="325" r="Q7"/>
      <c s="324" r="R7"/>
      <c s="325" r="S7" t="n">
        <f>1</f>
        <v>1</v>
      </c>
      <c s="325" r="T7"/>
      <c s="324" r="U7"/>
      <c s="342" r="V7" t="n">
        <f>IF(SUM($V$6,$Y$6,$AB$6,$AE$6,$AH$6)=0,0,V6/SUM($V$6,$Y$6,$AB$6,$AE$6,$AH$6))</f>
        <v>0</v>
      </c>
      <c s="325" r="W7"/>
      <c s="339" r="X7"/>
      <c s="342" r="Y7" t="n">
        <f>IF(SUM($V$6,$Y$6,$AB$6,$AE$6,$AH$6)=0,0,Y6/SUM($V$6,$Y$6,$AB$6,$AE$6,$AH$6))</f>
        <v>0</v>
      </c>
      <c s="325" r="Z7"/>
      <c s="339" r="AA7"/>
      <c s="342" r="AB7" t="n">
        <f>IF(SUM($V$6,$Y$6,$AB$6,$AE$6,$AH$6)=0,0,AB6/SUM($V$6,$Y$6,$AB$6,$AE$6,$AH$6))</f>
        <v>0</v>
      </c>
      <c s="325" r="AC7"/>
      <c s="339" r="AD7"/>
      <c s="342" r="AE7" t="n">
        <f>IF(SUM($V$6,$Y$6,$AB$6,$AE$6,$AH$6)=0,0,AE6/SUM($V$6,$Y$6,$AB$6,$AE$6,$AH$6))</f>
        <v>0</v>
      </c>
      <c s="325" r="AF7"/>
      <c s="339" r="AG7"/>
      <c s="325" r="AH7" t="n">
        <f>IF(SUM($V$6,$Y$6,$AB$6,$AE$6,$AH$6)=0,0,AH6/SUM($V$6,$Y$6,$AB$6,$AE$6,$AH$6))</f>
        <v>0</v>
      </c>
      <c s="325" r="AI7"/>
      <c s="324" r="AJ7"/>
      <c s="325" r="AK7" t="n">
        <f>1</f>
        <v>1</v>
      </c>
      <c s="325" r="AL7"/>
      <c s="324" r="AM7"/>
      <c s="342" r="AN7" t="n">
        <f>IF(SUM($AN$6,$AQ$6,$AT$6,$AW$6,$AZ$6)=0,0,AN6/SUM($AN$6,$AQ$6,$AT$6,$AW$6,$AZ$6))</f>
        <v>0</v>
      </c>
      <c s="325" r="AO7"/>
      <c s="339" r="AP7"/>
      <c s="342" r="AQ7" t="n">
        <f>IF(SUM($AN$6,$AQ$6,$AT$6,$AW$6,$AZ$6)=0,0,AQ6/SUM($AN$6,$AQ$6,$AT$6,$AW$6,$AZ$6))</f>
        <v>0</v>
      </c>
      <c s="325" r="AR7"/>
      <c s="339" r="AS7"/>
      <c s="342" r="AT7" t="n">
        <f>IF(SUM($AN$6,$AQ$6,$AT$6,$AW$6,$AZ$6)=0,0,AT6/SUM($AN$6,$AQ$6,$AT$6,$AW$6,$AZ$6))</f>
        <v>0</v>
      </c>
      <c s="325" r="AU7"/>
      <c s="339" r="AV7"/>
      <c s="342" r="AW7" t="n">
        <f>IF(SUM($AN$6,$AQ$6,$AT$6,$AW$6,$AZ$6)=0,0,AW6/SUM($AN$6,$AQ$6,$AT$6,$AW$6,$AZ$6))</f>
        <v>0</v>
      </c>
      <c s="325" r="AX7"/>
      <c s="339" r="AY7"/>
      <c s="325" r="AZ7" t="n">
        <f>IF(SUM($AN$6,$AQ$6,$AT$6,$AW$6,$AZ$6)=0,0,AZ6/SUM($AN$6,$AQ$6,$AT$6,$AW$6,$AZ$6))</f>
        <v>0</v>
      </c>
      <c s="325" r="BA7"/>
      <c s="324" r="BB7"/>
      <c s="325" r="BC7" t="n">
        <f>1</f>
        <v>1</v>
      </c>
      <c s="325" r="BD7"/>
      <c s="324" r="BE7"/>
      <c s="342" r="BF7" t="n">
        <f>IF(SUM($BF$6,$BI$6,$BL$6,$BO$6,$BR$6)=0,0,BF6/SUM($BF$6,$BI$6,$BL$6,$BO$6,$BR$6))</f>
        <v>0</v>
      </c>
      <c s="325" r="BG7"/>
      <c s="339" r="BH7"/>
      <c s="342" r="BI7" t="n">
        <f>IF(SUM($BF$6,$BI$6,$BL$6,$BO$6,$BR$6)=0,0,BI6/SUM($BF$6,$BI$6,$BL$6,$BO$6,$BR$6))</f>
        <v>0</v>
      </c>
      <c s="325" r="BJ7"/>
      <c s="339" r="BK7"/>
      <c s="342" r="BL7" t="n">
        <f>IF(SUM($BF$6,$BI$6,$BL$6,$BO$6,$BR$6)=0,0,BL6/SUM($BF$6,$BI$6,$BL$6,$BO$6,$BR$6))</f>
        <v>0</v>
      </c>
      <c s="325" r="BM7"/>
      <c s="339" r="BN7"/>
      <c s="342" r="BO7" t="n">
        <f>IF(SUM($BF$6,$BI$6,$BL$6,$BO$6,$BR$6)=0,0,BO6/SUM($BF$6,$BI$6,$BL$6,$BO$6,$BR$6))</f>
        <v>0</v>
      </c>
      <c s="325" r="BP7"/>
      <c s="339" r="BQ7"/>
      <c s="325" r="BR7" t="n">
        <f>IF(SUM($BF$6,$BI$6,$BL$6,$BO$6,$BR$6)=0,0,BR6/SUM($BF$6,$BI$6,$BL$6,$BO$6,$BR$6))</f>
        <v>0</v>
      </c>
      <c s="325" r="BS7"/>
      <c s="324" r="BT7"/>
      <c s="325" r="BU7" t="n">
        <f>1</f>
        <v>1</v>
      </c>
      <c s="325" r="BV7"/>
      <c s="324" r="BW7"/>
      <c s="342" r="BX7" t="n">
        <f>IF(SUM($BX$6,$CA$6,$CD$6,$CG$6,$CJ$6)=0,0,BX6/SUM($BX$6,$CA$6,$CD$6,$CG$6,$CJ$6))</f>
        <v>0</v>
      </c>
      <c s="325" r="BY7"/>
      <c s="339" r="BZ7"/>
      <c s="342" r="CA7" t="n">
        <f>IF(SUM($BX$6,$CA$6,$CD$6,$CG$6,$CJ$6)=0,0,CA6/SUM($BX$6,$CA$6,$CD$6,$CG$6,$CJ$6))</f>
        <v>0</v>
      </c>
      <c s="325" r="CB7"/>
      <c s="339" r="CC7"/>
      <c s="342" r="CD7" t="n">
        <f>IF(SUM($BX$6,$CA$6,$CD$6,$CG$6,$CJ$6)=0,0,CD6/SUM($BX$6,$CA$6,$CD$6,$CG$6,$CJ$6))</f>
        <v>0</v>
      </c>
      <c s="325" r="CE7"/>
      <c s="339" r="CF7"/>
      <c s="342" r="CG7" t="n">
        <f>IF(SUM($BX$6,$CA$6,$CD$6,$CG$6,$CJ$6)=0,0,CG6/SUM($BX$6,$CA$6,$CD$6,$CG$6,$CJ$6))</f>
        <v>0</v>
      </c>
      <c s="325" r="CH7"/>
      <c s="339" r="CI7"/>
      <c s="325" r="CJ7" t="n">
        <f>IF(SUM($BX$6,$CA$6,$CD$6,$CG$6,$CJ$6)=0,0,CJ6/SUM($BX$6,$CA$6,$CD$6,$CG$6,$CJ$6))</f>
        <v>0</v>
      </c>
      <c s="325" r="CK7"/>
      <c s="324" r="CL7"/>
      <c s="325" r="CM7" t="n">
        <f>1</f>
        <v>1</v>
      </c>
      <c s="325" r="CN7"/>
      <c s="325" r="CO7"/>
      <c s="325" r="CP7" t="n">
        <f>IF($DE$6=0,0,CP6/$DE$6)</f>
        <v>0</v>
      </c>
      <c s="325" r="CQ7"/>
      <c s="325" r="CR7"/>
      <c s="325" r="CS7" t="n">
        <f>IF($DE$6=0,0,CS6/$DE$6)</f>
        <v>0</v>
      </c>
      <c s="325" r="CT7"/>
      <c s="325" r="CU7"/>
      <c s="325" r="CV7" t="n">
        <f>IF($DE$6=0,0,CV6/$DE$6)</f>
        <v>0</v>
      </c>
      <c s="325" r="CW7"/>
      <c s="325" r="CX7"/>
      <c s="325" r="CY7" t="n">
        <f>IF($DE$6=0,0,CY6/$DE$6)</f>
        <v>0</v>
      </c>
      <c s="325" r="CZ7"/>
      <c s="325" r="DA7"/>
      <c s="325" r="DB7" t="n">
        <f>IF($DE$6=0,0,DB6/$DE$6)</f>
        <v>0</v>
      </c>
      <c s="325" r="DC7"/>
      <c s="325" r="DD7"/>
      <c s="325" r="DE7" t="n">
        <f>1</f>
        <v>1</v>
      </c>
      <c s="325" r="DF7"/>
      <c s="335" r="DG7"/>
    </row>
    <row r="8" spans="1:111">
      <c s="314" r="A8"/>
      <c s="343" r="B8" t="str">
        <v>MSRP</v>
      </c>
      <c s="344" r="C8"/>
      <c s="345" r="D8"/>
      <c s="326" r="E8"/>
      <c s="326" r="F8"/>
      <c s="345" r="G8"/>
      <c s="326" r="H8"/>
      <c s="326" r="I8"/>
      <c s="345" r="J8"/>
      <c s="326" r="K8"/>
      <c s="326" r="L8"/>
      <c s="345" r="M8"/>
      <c s="326" r="N8"/>
      <c s="326" r="O8"/>
      <c s="345" r="P8"/>
      <c s="326" r="Q8"/>
      <c s="346" r="R8"/>
      <c s="326" r="S8" t="n">
        <f>IF(S$6=0,0,(D8*D$6+G8*G$6+J8*J$6+M8*M$6+P8*P$6)/S$6)</f>
        <v>0</v>
      </c>
      <c s="326" r="T8"/>
      <c s="324" r="U8"/>
      <c s="345" r="V8"/>
      <c s="347" r="W8"/>
      <c s="347" r="X8"/>
      <c s="345" r="Y8"/>
      <c s="347" r="Z8"/>
      <c s="347" r="AA8"/>
      <c s="345" r="AB8"/>
      <c s="347" r="AC8"/>
      <c s="347" r="AD8"/>
      <c s="345" r="AE8"/>
      <c s="347" r="AF8"/>
      <c s="347" r="AG8"/>
      <c s="345" r="AH8"/>
      <c s="326" r="AI8"/>
      <c s="346" r="AJ8"/>
      <c s="347" r="AK8" t="n">
        <f>IF(AK$6=0,0,(V8*V$6+Y8*Y$6+AB8*AB$6+AE8*AE$6+AH8*AH$6)/AK$6)</f>
        <v>0</v>
      </c>
      <c s="347" r="AL8"/>
      <c s="348" r="AM8"/>
      <c s="345" r="AN8"/>
      <c s="347" r="AO8"/>
      <c s="347" r="AP8"/>
      <c s="345" r="AQ8"/>
      <c s="347" r="AR8"/>
      <c s="347" r="AS8"/>
      <c s="345" r="AT8"/>
      <c s="347" r="AU8"/>
      <c s="347" r="AV8"/>
      <c s="345" r="AW8"/>
      <c s="347" r="AX8"/>
      <c s="347" r="AY8"/>
      <c s="345" r="AZ8"/>
      <c s="326" r="BA8"/>
      <c s="346" r="BB8"/>
      <c s="347" r="BC8" t="n">
        <f>IF(BC$6=0,0,(AN8*AN$6+AQ8*AQ$6+AT8*AT$6+AW8*AW$6+AZ8*AZ$6)/BC$6)</f>
        <v>0</v>
      </c>
      <c s="326" r="BD8"/>
      <c s="324" r="BE8"/>
      <c s="345" r="BF8"/>
      <c s="347" r="BG8"/>
      <c s="347" r="BH8"/>
      <c s="345" r="BI8"/>
      <c s="347" r="BJ8"/>
      <c s="347" r="BK8"/>
      <c s="345" r="BL8"/>
      <c s="347" r="BM8"/>
      <c s="347" r="BN8"/>
      <c s="345" r="BO8"/>
      <c s="347" r="BP8"/>
      <c s="347" r="BQ8"/>
      <c s="345" r="BR8"/>
      <c s="326" r="BS8"/>
      <c s="346" r="BT8"/>
      <c s="326" r="BU8" t="n">
        <f>IF(BU$6=0,0,(BF8*BF$6+BI8*BI$6+BL8*BL$6+BO8*BO$6+BR8*BR$6)/BU$6)</f>
        <v>0</v>
      </c>
      <c s="326" r="BV8"/>
      <c s="324" r="BW8"/>
      <c s="345" r="BX8"/>
      <c s="347" r="BY8"/>
      <c s="347" r="BZ8"/>
      <c s="345" r="CA8"/>
      <c s="347" r="CB8"/>
      <c s="347" r="CC8"/>
      <c s="345" r="CD8"/>
      <c s="347" r="CE8"/>
      <c s="347" r="CF8"/>
      <c s="345" r="CG8"/>
      <c s="347" r="CH8"/>
      <c s="347" r="CI8"/>
      <c s="345" r="CJ8"/>
      <c s="326" r="CK8"/>
      <c s="346" r="CL8"/>
      <c s="326" r="CM8" t="n">
        <f>IF(CM$6=0,0,(BX8*BX$6+CA8*CA$6+CD8*CD$6+CG8*CG$6+CJ8*CJ$6)/CM$6)</f>
        <v>0</v>
      </c>
      <c s="326" r="CN8"/>
      <c s="325" r="CO8"/>
      <c s="326" r="CP8" t="n">
        <f>IF(CP$6=0,0,(D8*D$6+V8*V$6+AN8*AN$6+BF8*BF$6+BX8*BX$6)/CP$6)</f>
        <v>0</v>
      </c>
      <c s="326" r="CQ8"/>
      <c s="326" r="CR8"/>
      <c s="326" r="CS8" t="n">
        <f>IF(CS$6=0,0,(G8*G$6+Y8*Y$6+AQ8*AQ$6+BI8*BI$6+CA8*CA$6)/CS$6)</f>
        <v>0</v>
      </c>
      <c s="326" r="CT8"/>
      <c s="326" r="CU8"/>
      <c s="326" r="CV8" t="n">
        <f>IF(CV$6=0,0,(J8*J$6+AB8*AB$6+AT8*AT$6+BL8*BL$6+CD8*CD$6)/CV$6)</f>
        <v>0</v>
      </c>
      <c s="326" r="CW8"/>
      <c s="326" r="CX8"/>
      <c s="326" r="CY8" t="n">
        <f>IF(CY$6=0,0,(M8*M$6+AE8*AE$6+AW8*AW$6+BO8*BO$6+CG8*CG$6)/CY$6)</f>
        <v>0</v>
      </c>
      <c s="326" r="CZ8"/>
      <c s="326" r="DA8"/>
      <c s="326" r="DB8" t="n">
        <f>IF(DB$6=0,0,(P8*P$6+AH8*AH$6+AZ8*AZ$6+BR8*BR$6+CJ8*CJ$6)/DB$6)</f>
        <v>0</v>
      </c>
      <c s="326" r="DC8"/>
      <c s="326" r="DD8"/>
      <c s="326" r="DE8" t="n">
        <f>IF(DE$6=0,0,(S8*S$6+AK8*AK$6+BC8*BC$6+BU8*BU$6+CM8*CM$6)/DE$6)</f>
        <v>0</v>
      </c>
      <c s="326" r="DF8"/>
      <c s="349" r="DG8"/>
    </row>
    <row r="9" spans="1:111">
      <c s="321" r="A9"/>
      <c s="322" r="B9" t="str">
        <v>VAT</v>
      </c>
      <c s="336" r="C9"/>
      <c s="350" r="D9" t="n">
        <f>-D8/(1+D$73)*D$73</f>
        <v>0</v>
      </c>
      <c s="350" r="E9"/>
      <c s="339" r="F9"/>
      <c s="350" r="G9" t="n">
        <f>-G8/(1+G$73)*G$73</f>
        <v>0</v>
      </c>
      <c s="350" r="H9"/>
      <c s="339" r="I9"/>
      <c s="350" r="J9" t="n">
        <f>-J8/(1+J$73)*J$73</f>
        <v>0</v>
      </c>
      <c s="350" r="K9"/>
      <c s="339" r="L9"/>
      <c s="350" r="M9" t="n">
        <f>-M8/(1+M$73)*M$73</f>
        <v>0</v>
      </c>
      <c s="350" r="N9"/>
      <c s="339" r="O9"/>
      <c s="350" r="P9" t="n">
        <f>-P8/(1+P$73)*P$73</f>
        <v>0</v>
      </c>
      <c s="350" r="Q9"/>
      <c s="324" r="R9"/>
      <c s="350" r="S9" t="n">
        <f>IF(S$6=0,0,(D9*D$6+G9*G$6+J9*J$6+M9*M$6+P9*P$6)/S$6)</f>
        <v>0</v>
      </c>
      <c s="350" r="T9"/>
      <c s="324" r="U9"/>
      <c s="350" r="V9" t="n">
        <f>-V8/(1+V$73)*V$73</f>
        <v>0</v>
      </c>
      <c s="350" r="W9"/>
      <c s="339" r="X9"/>
      <c s="350" r="Y9" t="n">
        <f>-Y8/(1+Y$73)*Y$73</f>
        <v>0</v>
      </c>
      <c s="350" r="Z9"/>
      <c s="339" r="AA9"/>
      <c s="350" r="AB9" t="n">
        <f>-AB8/(1+AB$73)*AB$73</f>
        <v>0</v>
      </c>
      <c s="350" r="AC9"/>
      <c s="339" r="AD9"/>
      <c s="350" r="AE9" t="n">
        <f>-AE8/(1+AE$73)*AE$73</f>
        <v>0</v>
      </c>
      <c s="350" r="AF9"/>
      <c s="339" r="AG9"/>
      <c s="350" r="AH9" t="n">
        <f>-AH8/(1+AH$73)*AH$73</f>
        <v>0</v>
      </c>
      <c s="350" r="AI9"/>
      <c s="324" r="AJ9"/>
      <c s="350" r="AK9" t="n">
        <f>IF(AK$6=0,0,(V9*V$6+Y9*Y$6+AB9*AB$6+AE9*AE$6+AH9*AH$6)/AK$6)</f>
        <v>0</v>
      </c>
      <c s="350" r="AL9"/>
      <c s="324" r="AM9"/>
      <c s="350" r="AN9" t="n">
        <f>-AN8/(1+AN$73)*AN$73</f>
        <v>0</v>
      </c>
      <c s="350" r="AO9"/>
      <c s="339" r="AP9"/>
      <c s="350" r="AQ9" t="n">
        <f>-AQ8/(1+AQ$73)*AQ$73</f>
        <v>0</v>
      </c>
      <c s="350" r="AR9"/>
      <c s="339" r="AS9"/>
      <c s="350" r="AT9" t="n">
        <f>-AT8/(1+AT$73)*AT$73</f>
        <v>0</v>
      </c>
      <c s="350" r="AU9"/>
      <c s="339" r="AV9"/>
      <c s="350" r="AW9" t="n">
        <f>-AW8/(1+AW$73)*AW$73</f>
        <v>0</v>
      </c>
      <c s="350" r="AX9"/>
      <c s="339" r="AY9"/>
      <c s="350" r="AZ9" t="n">
        <f>-AZ8/(1+AZ$73)*AZ$73</f>
        <v>0</v>
      </c>
      <c s="350" r="BA9"/>
      <c s="324" r="BB9"/>
      <c s="350" r="BC9" t="n">
        <f>IF(BC$6=0,0,(AN9*AN$6+AQ9*AQ$6+AT9*AT$6+AW9*AW$6+AZ9*AZ$6)/BC$6)</f>
        <v>0</v>
      </c>
      <c s="350" r="BD9"/>
      <c s="324" r="BE9"/>
      <c s="350" r="BF9" t="n">
        <f>-BF8/(1+BF$73)*BF$73</f>
        <v>0</v>
      </c>
      <c s="350" r="BG9"/>
      <c s="339" r="BH9"/>
      <c s="350" r="BI9" t="n">
        <f>-BI8/(1+BI$73)*BI$73</f>
        <v>0</v>
      </c>
      <c s="350" r="BJ9"/>
      <c s="339" r="BK9"/>
      <c s="350" r="BL9" t="n">
        <f>-BL8/(1+BL$73)*BL$73</f>
        <v>0</v>
      </c>
      <c s="350" r="BM9"/>
      <c s="339" r="BN9"/>
      <c s="350" r="BO9" t="n">
        <f>-BO8/(1+BO$73)*BO$73</f>
        <v>0</v>
      </c>
      <c s="350" r="BP9"/>
      <c s="339" r="BQ9"/>
      <c s="350" r="BR9" t="n">
        <f>-BR8/(1+BR$73)*BR$73</f>
        <v>0</v>
      </c>
      <c s="350" r="BS9"/>
      <c s="324" r="BT9"/>
      <c s="350" r="BU9" t="n">
        <f>IF(BU$6=0,0,(BF9*BF$6+BI9*BI$6+BL9*BL$6+BO9*BO$6+BR9*BR$6)/BU$6)</f>
        <v>0</v>
      </c>
      <c s="350" r="BV9"/>
      <c s="324" r="BW9"/>
      <c s="350" r="BX9" t="n">
        <f>-BX8/(1+BX$73)*BX$73</f>
        <v>0</v>
      </c>
      <c s="350" r="BY9"/>
      <c s="339" r="BZ9"/>
      <c s="350" r="CA9" t="n">
        <f>-CA8/(1+CA$73)*CA$73</f>
        <v>0</v>
      </c>
      <c s="350" r="CB9"/>
      <c s="339" r="CC9"/>
      <c s="350" r="CD9" t="n">
        <f>-CD8/(1+CD$73)*CD$73</f>
        <v>0</v>
      </c>
      <c s="350" r="CE9"/>
      <c s="339" r="CF9"/>
      <c s="350" r="CG9" t="n">
        <f>-CG8/(1+CG$73)*CG$73</f>
        <v>0</v>
      </c>
      <c s="350" r="CH9"/>
      <c s="339" r="CI9"/>
      <c s="350" r="CJ9" t="n">
        <f>-CJ8/(1+CJ$73)*CJ$73</f>
        <v>0</v>
      </c>
      <c s="350" r="CK9"/>
      <c s="324" r="CL9"/>
      <c s="350" r="CM9" t="n">
        <f>IF(CM$6=0,0,(BX9*BX$6+CA9*CA$6+CD9*CD$6+CG9*CG$6+CJ9*CJ$6)/CM$6)</f>
        <v>0</v>
      </c>
      <c s="350" r="CN9"/>
      <c s="325" r="CO9"/>
      <c s="339" r="CP9" t="n">
        <f>IF(CP$6=0,0,(D9*D$6+V9*V$6+AN9*AN$6+BF9*BF$6+BX9*BX$6)/CP$6)</f>
        <v>0</v>
      </c>
      <c s="350" r="CQ9"/>
      <c s="350" r="CR9"/>
      <c s="339" r="CS9" t="n">
        <f>IF(CS$6=0,0,(G9*G$6+Y9*Y$6+AQ9*AQ$6+BI9*BI$6+CA9*CA$6)/CS$6)</f>
        <v>0</v>
      </c>
      <c s="350" r="CT9"/>
      <c s="350" r="CU9"/>
      <c s="339" r="CV9" t="n">
        <f>IF(CV$6=0,0,(J9*J$6+AB9*AB$6+AT9*AT$6+BL9*BL$6+CD9*CD$6)/CV$6)</f>
        <v>0</v>
      </c>
      <c s="350" r="CW9"/>
      <c s="350" r="CX9"/>
      <c s="339" r="CY9" t="n">
        <f>IF(CY$6=0,0,(M9*M$6+AE9*AE$6+AW9*AW$6+BO9*BO$6+CG9*CG$6)/CY$6)</f>
        <v>0</v>
      </c>
      <c s="350" r="CZ9"/>
      <c s="350" r="DA9"/>
      <c s="339" r="DB9" t="n">
        <f>IF(DB$6=0,0,(P9*P$6+AH9*AH$6+AZ9*AZ$6+BR9*BR$6+CJ9*CJ$6)/DB$6)</f>
        <v>0</v>
      </c>
      <c s="350" r="DC9"/>
      <c s="350" r="DD9"/>
      <c s="350" r="DE9" t="n">
        <f>IF(DE$6=0,0,(S9*S$6+AK9*AK$6+BC9*BC$6+BU9*BU$6+CM9*CM$6)/DE$6)</f>
        <v>0</v>
      </c>
      <c s="350" r="DF9"/>
      <c s="351" r="DG9"/>
    </row>
    <row r="10" spans="1:111">
      <c s="321" r="A10"/>
      <c s="322" r="B10" t="str">
        <v>收入抵减项</v>
      </c>
      <c s="336" r="C10"/>
      <c s="352" r="D10" t="n">
        <f>SUM(D11:D15)</f>
        <v>0</v>
      </c>
      <c s="350" r="E10"/>
      <c s="339" r="F10"/>
      <c s="352" r="G10" t="n">
        <f>SUM(G11:G15)</f>
        <v>0</v>
      </c>
      <c s="350" r="H10"/>
      <c s="339" r="I10"/>
      <c s="352" r="J10" t="n">
        <f>SUM(J11:J15)</f>
        <v>0</v>
      </c>
      <c s="350" r="K10"/>
      <c s="339" r="L10"/>
      <c s="352" r="M10" t="n">
        <f>SUM(M11:M15)</f>
        <v>0</v>
      </c>
      <c s="350" r="N10"/>
      <c s="339" r="O10"/>
      <c s="352" r="P10" t="n">
        <f>SUM(P11:P15)</f>
        <v>0</v>
      </c>
      <c s="350" r="Q10"/>
      <c s="324" r="R10"/>
      <c s="352" r="S10" t="n">
        <f>IF(S$6=0,0,(D10*D$6+G10*G$6+J10*J$6+M10*M$6+P10*P$6)/S$6)</f>
        <v>0</v>
      </c>
      <c s="350" r="T10"/>
      <c s="324" r="U10"/>
      <c s="352" r="V10" t="n">
        <f>SUM(V11:V15)</f>
        <v>0</v>
      </c>
      <c s="350" r="W10"/>
      <c s="339" r="X10"/>
      <c s="352" r="Y10" t="n">
        <f>SUM(Y11:Y15)</f>
        <v>0</v>
      </c>
      <c s="350" r="Z10"/>
      <c s="339" r="AA10"/>
      <c s="352" r="AB10" t="n">
        <f>SUM(AB11:AB15)</f>
        <v>0</v>
      </c>
      <c s="350" r="AC10"/>
      <c s="339" r="AD10"/>
      <c s="352" r="AE10" t="n">
        <f>SUM(AE11:AE15)</f>
        <v>0</v>
      </c>
      <c s="350" r="AF10"/>
      <c s="339" r="AG10"/>
      <c s="352" r="AH10" t="n">
        <f>SUM(AH11:AH15)</f>
        <v>0</v>
      </c>
      <c s="350" r="AI10"/>
      <c s="324" r="AJ10"/>
      <c s="350" r="AK10" t="n">
        <f>IF(AK$6=0,0,(V10*V$6+Y10*Y$6+AB10*AB$6+AE10*AE$6+AH10*AH$6)/AK$6)</f>
        <v>0</v>
      </c>
      <c s="350" r="AL10"/>
      <c s="324" r="AM10"/>
      <c s="352" r="AN10" t="n">
        <f>SUM(AN11:AN15)</f>
        <v>0</v>
      </c>
      <c s="350" r="AO10"/>
      <c s="339" r="AP10"/>
      <c s="352" r="AQ10" t="n">
        <f>SUM(AQ11:AQ15)</f>
        <v>0</v>
      </c>
      <c s="350" r="AR10"/>
      <c s="339" r="AS10"/>
      <c s="352" r="AT10" t="n">
        <f>SUM(AT11:AT15)</f>
        <v>0</v>
      </c>
      <c s="350" r="AU10"/>
      <c s="339" r="AV10"/>
      <c s="352" r="AW10" t="n">
        <f>SUM(AW11:AW15)</f>
        <v>0</v>
      </c>
      <c s="350" r="AX10"/>
      <c s="339" r="AY10"/>
      <c s="352" r="AZ10" t="n">
        <f>SUM(AZ11:AZ15)</f>
        <v>0</v>
      </c>
      <c s="350" r="BA10"/>
      <c s="324" r="BB10"/>
      <c s="350" r="BC10" t="n">
        <f>IF(BC$6=0,0,(AN10*AN$6+AQ10*AQ$6+AT10*AT$6+AW10*AW$6+AZ10*AZ$6)/BC$6)</f>
        <v>0</v>
      </c>
      <c s="350" r="BD10"/>
      <c s="324" r="BE10"/>
      <c s="352" r="BF10" t="n">
        <f>SUM(BF11:BF15)</f>
        <v>0</v>
      </c>
      <c s="350" r="BG10"/>
      <c s="339" r="BH10"/>
      <c s="352" r="BI10" t="n">
        <f>SUM(BI11:BI15)</f>
        <v>0</v>
      </c>
      <c s="350" r="BJ10"/>
      <c s="339" r="BK10"/>
      <c s="352" r="BL10" t="n">
        <f>SUM(BL11:BL15)</f>
        <v>0</v>
      </c>
      <c s="350" r="BM10"/>
      <c s="339" r="BN10"/>
      <c s="352" r="BO10" t="n">
        <f>SUM(BO11:BO15)</f>
        <v>0</v>
      </c>
      <c s="350" r="BP10"/>
      <c s="339" r="BQ10"/>
      <c s="352" r="BR10" t="n">
        <f>SUM(BR11:BR15)</f>
        <v>0</v>
      </c>
      <c s="350" r="BS10"/>
      <c s="324" r="BT10"/>
      <c s="350" r="BU10" t="n">
        <f>IF(BU$6=0,0,(BF10*BF$6+BI10*BI$6+BL10*BL$6+BO10*BO$6+BR10*BR$6)/BU$6)</f>
        <v>0</v>
      </c>
      <c s="350" r="BV10"/>
      <c s="324" r="BW10"/>
      <c s="352" r="BX10" t="n">
        <f>SUM(BX11:BX15)</f>
        <v>0</v>
      </c>
      <c s="350" r="BY10"/>
      <c s="339" r="BZ10"/>
      <c s="352" r="CA10" t="n">
        <f>SUM(CA11:CA15)</f>
        <v>0</v>
      </c>
      <c s="350" r="CB10"/>
      <c s="339" r="CC10"/>
      <c s="352" r="CD10" t="n">
        <f>SUM(CD11:CD15)</f>
        <v>0</v>
      </c>
      <c s="350" r="CE10"/>
      <c s="339" r="CF10"/>
      <c s="352" r="CG10" t="n">
        <f>SUM(CG11:CG15)</f>
        <v>0</v>
      </c>
      <c s="350" r="CH10"/>
      <c s="339" r="CI10"/>
      <c s="352" r="CJ10" t="n">
        <f>SUM(CJ11:CJ15)</f>
        <v>0</v>
      </c>
      <c s="350" r="CK10"/>
      <c s="324" r="CL10"/>
      <c s="350" r="CM10" t="n">
        <f>IF(CM$6=0,0,(BX10*BX$6+CA10*CA$6+CD10*CD$6+CG10*CG$6+CJ10*CJ$6)/CM$6)</f>
        <v>0</v>
      </c>
      <c s="350" r="CN10"/>
      <c s="350" r="CO10"/>
      <c s="350" r="CP10" t="n">
        <f>IF(CP$6=0,0,(D10*D$6+V10*V$6+AN10*AN$6+BF10*BF$6+BX10*BX$6)/CP$6)</f>
        <v>0</v>
      </c>
      <c s="350" r="CQ10"/>
      <c s="350" r="CR10"/>
      <c s="350" r="CS10" t="n">
        <f>IF(CS$6=0,0,(G10*G$6+Y10*Y$6+AQ10*AQ$6+BI10*BI$6+CA10*CA$6)/CS$6)</f>
        <v>0</v>
      </c>
      <c s="350" r="CT10"/>
      <c s="350" r="CU10"/>
      <c s="350" r="CV10" t="n">
        <f>IF(CV$6=0,0,(J10*J$6+AB10*AB$6+AT10*AT$6+BL10*BL$6+CD10*CD$6)/CV$6)</f>
        <v>0</v>
      </c>
      <c s="350" r="CW10"/>
      <c s="350" r="CX10"/>
      <c s="350" r="CY10" t="n">
        <f>IF(CY$6=0,0,(M10*M$6+AE10*AE$6+AW10*AW$6+BO10*BO$6+CG10*CG$6)/CY$6)</f>
        <v>0</v>
      </c>
      <c s="350" r="CZ10"/>
      <c s="350" r="DA10"/>
      <c s="350" r="DB10" t="n">
        <f>IF(DB$6=0,0,(P10*P$6+AH10*AH$6+AZ10*AZ$6+BR10*BR$6+CJ10*CJ$6)/DB$6)</f>
        <v>0</v>
      </c>
      <c s="350" r="DC10"/>
      <c s="350" r="DD10"/>
      <c s="350" r="DE10" t="n">
        <f>IF(DE$6=0,0,(S10*S$6+AK10*AK$6+BC10*BC$6+BU10*BU$6+CM10*CM$6)/DE$6)</f>
        <v>0</v>
      </c>
      <c s="350" r="DF10"/>
      <c s="351" r="DG10"/>
    </row>
    <row r="11" spans="1:111" outlineLevel="1">
      <c s="321" r="A11"/>
      <c s="353" r="B11" t="str">
        <v>            -积分权益类</v>
      </c>
      <c s="336" r="C11"/>
      <c s="354" r="D11"/>
      <c s="350" r="E11"/>
      <c s="339" r="F11"/>
      <c s="354" r="G11"/>
      <c s="350" r="H11"/>
      <c s="339" r="I11"/>
      <c s="354" r="J11"/>
      <c s="350" r="K11"/>
      <c s="339" r="L11"/>
      <c s="354" r="M11"/>
      <c s="350" r="N11"/>
      <c s="339" r="O11"/>
      <c s="354" r="P11"/>
      <c s="350" r="Q11"/>
      <c s="324" r="R11"/>
      <c s="355" r="S11" t="n">
        <f>IF(S$6=0,0,(D11*D$6+G11*G$6+J11*J$6+M11*M$6+P11*P$6)/S$6)</f>
        <v>0</v>
      </c>
      <c s="350" r="T11"/>
      <c s="324" r="U11"/>
      <c s="354" r="V11"/>
      <c s="350" r="W11"/>
      <c s="339" r="X11"/>
      <c s="354" r="Y11"/>
      <c s="350" r="Z11"/>
      <c s="339" r="AA11"/>
      <c s="354" r="AB11"/>
      <c s="350" r="AC11"/>
      <c s="339" r="AD11"/>
      <c s="354" r="AE11"/>
      <c s="350" r="AF11"/>
      <c s="339" r="AG11"/>
      <c s="354" r="AH11"/>
      <c s="350" r="AI11"/>
      <c s="324" r="AJ11"/>
      <c s="355" r="AK11" t="n">
        <f>IF(AK$6=0,0,(V11*V$6+Y11*Y$6+AB11*AB$6+AE11*AE$6+AH11*AH$6)/AK$6)</f>
        <v>0</v>
      </c>
      <c s="350" r="AL11"/>
      <c s="324" r="AM11"/>
      <c s="354" r="AN11"/>
      <c s="350" r="AO11"/>
      <c s="339" r="AP11"/>
      <c s="354" r="AQ11"/>
      <c s="350" r="AR11"/>
      <c s="339" r="AS11"/>
      <c s="354" r="AT11"/>
      <c s="350" r="AU11"/>
      <c s="339" r="AV11"/>
      <c s="354" r="AW11"/>
      <c s="350" r="AX11"/>
      <c s="339" r="AY11"/>
      <c s="354" r="AZ11"/>
      <c s="350" r="BA11"/>
      <c s="324" r="BB11"/>
      <c s="355" r="BC11" t="n">
        <f>IF(BC$6=0,0,(AN11*AN$6+AQ11*AQ$6+AT11*AT$6+AW11*AW$6+AZ11*AZ$6)/BC$6)</f>
        <v>0</v>
      </c>
      <c s="350" r="BD11"/>
      <c s="324" r="BE11"/>
      <c s="354" r="BF11"/>
      <c s="350" r="BG11"/>
      <c s="339" r="BH11"/>
      <c s="354" r="BI11"/>
      <c s="350" r="BJ11"/>
      <c s="339" r="BK11"/>
      <c s="354" r="BL11"/>
      <c s="350" r="BM11"/>
      <c s="339" r="BN11"/>
      <c s="354" r="BO11"/>
      <c s="350" r="BP11"/>
      <c s="339" r="BQ11"/>
      <c s="354" r="BR11"/>
      <c s="350" r="BS11"/>
      <c s="324" r="BT11"/>
      <c s="355" r="BU11" t="n">
        <f>IF(BU$6=0,0,(BF11*BF$6+BI11*BI$6+BL11*BL$6+BO11*BO$6+BR11*BR$6)/BU$6)</f>
        <v>0</v>
      </c>
      <c s="350" r="BV11"/>
      <c s="324" r="BW11"/>
      <c s="354" r="BX11"/>
      <c s="350" r="BY11"/>
      <c s="339" r="BZ11"/>
      <c s="354" r="CA11"/>
      <c s="350" r="CB11"/>
      <c s="339" r="CC11"/>
      <c s="354" r="CD11"/>
      <c s="350" r="CE11"/>
      <c s="339" r="CF11"/>
      <c s="354" r="CG11"/>
      <c s="350" r="CH11"/>
      <c s="339" r="CI11"/>
      <c s="354" r="CJ11"/>
      <c s="350" r="CK11"/>
      <c s="324" r="CL11"/>
      <c s="356" r="CM11" t="n">
        <f>IF(CM$6=0,0,(BX11*BX$6+CA11*CA$6+CD11*CD$6+CG11*CG$6+CJ11*CJ$6)/CM$6)</f>
        <v>0</v>
      </c>
      <c s="350" r="CN11"/>
      <c s="325" r="CO11"/>
      <c s="357" r="CP11" t="n">
        <f>IF(CP$6=0,0,(D11*D$6+V11*V$6+AN11*AN$6+BF11*BF$6+BX11*BX$6)/CP$6)</f>
        <v>0</v>
      </c>
      <c s="355" r="CQ11"/>
      <c s="355" r="CR11"/>
      <c s="357" r="CS11" t="n">
        <f>IF(CS$6=0,0,(G11*G$6+Y11*Y$6+AQ11*AQ$6+BI11*BI$6+CA11*CA$6)/CS$6)</f>
        <v>0</v>
      </c>
      <c s="355" r="CT11"/>
      <c s="355" r="CU11"/>
      <c s="357" r="CV11" t="n">
        <f>IF(CV$6=0,0,(J11*J$6+AB11*AB$6+AT11*AT$6+BL11*BL$6+CD11*CD$6)/CV$6)</f>
        <v>0</v>
      </c>
      <c s="355" r="CW11"/>
      <c s="355" r="CX11"/>
      <c s="357" r="CY11" t="n">
        <f>IF(CY$6=0,0,(M11*M$6+AE11*AE$6+AW11*AW$6+BO11*BO$6+CG11*CG$6)/CY$6)</f>
        <v>0</v>
      </c>
      <c s="355" r="CZ11"/>
      <c s="355" r="DA11"/>
      <c s="357" r="DB11" t="n">
        <f>IF(DB$6=0,0,(P11*P$6+AH11*AH$6+AZ11*AZ$6+BR11*BR$6+CJ11*CJ$6)/DB$6)</f>
        <v>0</v>
      </c>
      <c s="355" r="DC11"/>
      <c s="355" r="DD11"/>
      <c s="357" r="DE11" t="n">
        <f>IF(DE$6=0,0,(S11*S$6+AK11*AK$6+BC11*BC$6+BU11*BU$6+CM11*CM$6)/DE$6)</f>
        <v>0</v>
      </c>
      <c s="350" r="DF11"/>
      <c s="351" r="DG11"/>
    </row>
    <row r="12" spans="1:111" ht="16.05" customHeight="1" outlineLevel="1">
      <c s="321" r="A12"/>
      <c s="358" r="B12" t="str">
        <v>            -展车销售折扣</v>
      </c>
      <c s="336" r="C12"/>
      <c s="354" r="D12"/>
      <c s="350" r="E12"/>
      <c s="339" r="F12"/>
      <c s="354" r="G12"/>
      <c s="350" r="H12"/>
      <c s="339" r="I12"/>
      <c s="354" r="J12"/>
      <c s="350" r="K12"/>
      <c s="339" r="L12"/>
      <c s="354" r="M12"/>
      <c s="350" r="N12"/>
      <c s="339" r="O12"/>
      <c s="354" r="P12"/>
      <c s="350" r="Q12"/>
      <c s="324" r="R12"/>
      <c s="355" r="S12" t="n">
        <f>IF(S$6=0,0,(D12*D$6+G12*G$6+J12*J$6+M12*M$6+P12*P$6)/S$6)</f>
        <v>0</v>
      </c>
      <c s="350" r="T12"/>
      <c s="324" r="U12"/>
      <c s="354" r="V12"/>
      <c s="350" r="W12"/>
      <c s="339" r="X12"/>
      <c s="354" r="Y12"/>
      <c s="350" r="Z12"/>
      <c s="339" r="AA12"/>
      <c s="354" r="AB12"/>
      <c s="350" r="AC12"/>
      <c s="339" r="AD12"/>
      <c s="354" r="AE12"/>
      <c s="350" r="AF12"/>
      <c s="339" r="AG12"/>
      <c s="354" r="AH12"/>
      <c s="350" r="AI12"/>
      <c s="324" r="AJ12"/>
      <c s="355" r="AK12" t="n">
        <f>IF(AK$6=0,0,(V12*V$6+Y12*Y$6+AB12*AB$6+AE12*AE$6+AH12*AH$6)/AK$6)</f>
        <v>0</v>
      </c>
      <c s="350" r="AL12"/>
      <c s="324" r="AM12"/>
      <c s="354" r="AN12"/>
      <c s="350" r="AO12"/>
      <c s="339" r="AP12"/>
      <c s="354" r="AQ12"/>
      <c s="350" r="AR12"/>
      <c s="339" r="AS12"/>
      <c s="354" r="AT12"/>
      <c s="350" r="AU12"/>
      <c s="339" r="AV12"/>
      <c s="354" r="AW12"/>
      <c s="350" r="AX12"/>
      <c s="339" r="AY12"/>
      <c s="354" r="AZ12"/>
      <c s="350" r="BA12"/>
      <c s="324" r="BB12"/>
      <c s="355" r="BC12" t="n">
        <f>IF(BC$6=0,0,(AN12*AN$6+AQ12*AQ$6+AT12*AT$6+AW12*AW$6+AZ12*AZ$6)/BC$6)</f>
        <v>0</v>
      </c>
      <c s="350" r="BD12"/>
      <c s="324" r="BE12"/>
      <c s="354" r="BF12"/>
      <c s="350" r="BG12"/>
      <c s="339" r="BH12"/>
      <c s="354" r="BI12"/>
      <c s="350" r="BJ12"/>
      <c s="339" r="BK12"/>
      <c s="354" r="BL12"/>
      <c s="350" r="BM12"/>
      <c s="339" r="BN12"/>
      <c s="354" r="BO12"/>
      <c s="350" r="BP12"/>
      <c s="339" r="BQ12"/>
      <c s="354" r="BR12"/>
      <c s="350" r="BS12"/>
      <c s="324" r="BT12"/>
      <c s="355" r="BU12" t="n">
        <f>IF(BU$6=0,0,(BF12*BF$6+BI12*BI$6+BL12*BL$6+BO12*BO$6+BR12*BR$6)/BU$6)</f>
        <v>0</v>
      </c>
      <c s="350" r="BV12"/>
      <c s="324" r="BW12"/>
      <c s="354" r="BX12"/>
      <c s="350" r="BY12"/>
      <c s="339" r="BZ12"/>
      <c s="354" r="CA12"/>
      <c s="350" r="CB12"/>
      <c s="339" r="CC12"/>
      <c s="354" r="CD12"/>
      <c s="350" r="CE12"/>
      <c s="339" r="CF12"/>
      <c s="354" r="CG12"/>
      <c s="350" r="CH12"/>
      <c s="339" r="CI12"/>
      <c s="354" r="CJ12"/>
      <c s="350" r="CK12"/>
      <c s="324" r="CL12"/>
      <c s="356" r="CM12" t="n">
        <f>IF(CM$6=0,0,(BX12*BX$6+CA12*CA$6+CD12*CD$6+CG12*CG$6+CJ12*CJ$6)/CM$6)</f>
        <v>0</v>
      </c>
      <c s="350" r="CN12"/>
      <c s="325" r="CO12"/>
      <c s="357" r="CP12" t="n">
        <f>IF(CP$6=0,0,(D12*D$6+V12*V$6+AN12*AN$6+BF12*BF$6+BX12*BX$6)/CP$6)</f>
        <v>0</v>
      </c>
      <c s="355" r="CQ12"/>
      <c s="355" r="CR12"/>
      <c s="357" r="CS12" t="n">
        <f>IF(CS$6=0,0,(G12*G$6+Y12*Y$6+AQ12*AQ$6+BI12*BI$6+CA12*CA$6)/CS$6)</f>
        <v>0</v>
      </c>
      <c s="355" r="CT12"/>
      <c s="355" r="CU12"/>
      <c s="357" r="CV12" t="n">
        <f>IF(CV$6=0,0,(J12*J$6+AB12*AB$6+AT12*AT$6+BL12*BL$6+CD12*CD$6)/CV$6)</f>
        <v>0</v>
      </c>
      <c s="355" r="CW12"/>
      <c s="355" r="CX12"/>
      <c s="357" r="CY12" t="n">
        <f>IF(CY$6=0,0,(M12*M$6+AE12*AE$6+AW12*AW$6+BO12*BO$6+CG12*CG$6)/CY$6)</f>
        <v>0</v>
      </c>
      <c s="355" r="CZ12"/>
      <c s="355" r="DA12"/>
      <c s="357" r="DB12" t="n">
        <f>IF(DB$6=0,0,(P12*P$6+AH12*AH$6+AZ12*AZ$6+BR12*BR$6+CJ12*CJ$6)/DB$6)</f>
        <v>0</v>
      </c>
      <c s="355" r="DC12"/>
      <c s="355" r="DD12"/>
      <c s="357" r="DE12" t="n">
        <f>IF(DE$6=0,0,(S12*S$6+AK12*AK$6+BC12*BC$6+BU12*BU$6+CM12*CM$6)/DE$6)</f>
        <v>0</v>
      </c>
      <c s="350" r="DF12"/>
      <c s="351" r="DG12"/>
    </row>
    <row r="13" spans="1:111" ht="16.05" customHeight="1" outlineLevel="1">
      <c s="321" r="A13"/>
      <c s="358" r="B13" t="str">
        <v>            -金融贴息</v>
      </c>
      <c s="336" r="C13"/>
      <c s="354" r="D13"/>
      <c s="350" r="E13"/>
      <c s="339" r="F13"/>
      <c s="354" r="G13"/>
      <c s="350" r="H13"/>
      <c s="339" r="I13"/>
      <c s="354" r="J13"/>
      <c s="350" r="K13"/>
      <c s="339" r="L13"/>
      <c s="354" r="M13"/>
      <c s="350" r="N13"/>
      <c s="339" r="O13"/>
      <c s="354" r="P13"/>
      <c s="350" r="Q13"/>
      <c s="324" r="R13"/>
      <c s="355" r="S13" t="n">
        <f>IF(S$6=0,0,(D13*D$6+G13*G$6+J13*J$6+M13*M$6+P13*P$6)/S$6)</f>
        <v>0</v>
      </c>
      <c s="350" r="T13"/>
      <c s="324" r="U13"/>
      <c s="354" r="V13"/>
      <c s="350" r="W13"/>
      <c s="339" r="X13"/>
      <c s="354" r="Y13"/>
      <c s="350" r="Z13"/>
      <c s="339" r="AA13"/>
      <c s="354" r="AB13"/>
      <c s="350" r="AC13"/>
      <c s="339" r="AD13"/>
      <c s="354" r="AE13"/>
      <c s="350" r="AF13"/>
      <c s="339" r="AG13"/>
      <c s="354" r="AH13"/>
      <c s="350" r="AI13"/>
      <c s="324" r="AJ13"/>
      <c s="355" r="AK13" t="n">
        <f>IF(AK$6=0,0,(V13*V$6+Y13*Y$6+AB13*AB$6+AE13*AE$6+AH13*AH$6)/AK$6)</f>
        <v>0</v>
      </c>
      <c s="350" r="AL13"/>
      <c s="324" r="AM13"/>
      <c s="354" r="AN13"/>
      <c s="350" r="AO13"/>
      <c s="339" r="AP13"/>
      <c s="354" r="AQ13"/>
      <c s="350" r="AR13"/>
      <c s="339" r="AS13"/>
      <c s="354" r="AT13"/>
      <c s="350" r="AU13"/>
      <c s="339" r="AV13"/>
      <c s="354" r="AW13"/>
      <c s="350" r="AX13"/>
      <c s="339" r="AY13"/>
      <c s="354" r="AZ13"/>
      <c s="350" r="BA13"/>
      <c s="324" r="BB13"/>
      <c s="355" r="BC13" t="n">
        <f>IF(BC$6=0,0,(AN13*AN$6+AQ13*AQ$6+AT13*AT$6+AW13*AW$6+AZ13*AZ$6)/BC$6)</f>
        <v>0</v>
      </c>
      <c s="350" r="BD13"/>
      <c s="324" r="BE13"/>
      <c s="354" r="BF13"/>
      <c s="350" r="BG13"/>
      <c s="339" r="BH13"/>
      <c s="354" r="BI13"/>
      <c s="350" r="BJ13"/>
      <c s="339" r="BK13"/>
      <c s="354" r="BL13"/>
      <c s="350" r="BM13"/>
      <c s="339" r="BN13"/>
      <c s="354" r="BO13"/>
      <c s="350" r="BP13"/>
      <c s="339" r="BQ13"/>
      <c s="354" r="BR13"/>
      <c s="350" r="BS13"/>
      <c s="324" r="BT13"/>
      <c s="355" r="BU13" t="n">
        <f>IF(BU$6=0,0,(BF13*BF$6+BI13*BI$6+BL13*BL$6+BO13*BO$6+BR13*BR$6)/BU$6)</f>
        <v>0</v>
      </c>
      <c s="350" r="BV13"/>
      <c s="324" r="BW13"/>
      <c s="354" r="BX13"/>
      <c s="350" r="BY13"/>
      <c s="339" r="BZ13"/>
      <c s="354" r="CA13"/>
      <c s="350" r="CB13"/>
      <c s="339" r="CC13"/>
      <c s="354" r="CD13"/>
      <c s="350" r="CE13"/>
      <c s="339" r="CF13"/>
      <c s="354" r="CG13"/>
      <c s="350" r="CH13"/>
      <c s="339" r="CI13"/>
      <c s="354" r="CJ13"/>
      <c s="350" r="CK13"/>
      <c s="324" r="CL13"/>
      <c s="356" r="CM13" t="n">
        <f>IF(CM$6=0,0,(BX13*BX$6+CA13*CA$6+CD13*CD$6+CG13*CG$6+CJ13*CJ$6)/CM$6)</f>
        <v>0</v>
      </c>
      <c s="350" r="CN13"/>
      <c s="325" r="CO13"/>
      <c s="357" r="CP13" t="n">
        <f>IF(CP$6=0,0,(D13*D$6+V13*V$6+AN13*AN$6+BF13*BF$6+BX13*BX$6)/CP$6)</f>
        <v>0</v>
      </c>
      <c s="355" r="CQ13"/>
      <c s="355" r="CR13"/>
      <c s="357" r="CS13" t="n">
        <f>IF(CS$6=0,0,(G13*G$6+Y13*Y$6+AQ13*AQ$6+BI13*BI$6+CA13*CA$6)/CS$6)</f>
        <v>0</v>
      </c>
      <c s="355" r="CT13"/>
      <c s="355" r="CU13"/>
      <c s="357" r="CV13" t="n">
        <f>IF(CV$6=0,0,(J13*J$6+AB13*AB$6+AT13*AT$6+BL13*BL$6+CD13*CD$6)/CV$6)</f>
        <v>0</v>
      </c>
      <c s="355" r="CW13"/>
      <c s="355" r="CX13"/>
      <c s="357" r="CY13" t="n">
        <f>IF(CY$6=0,0,(M13*M$6+AE13*AE$6+AW13*AW$6+BO13*BO$6+CG13*CG$6)/CY$6)</f>
        <v>0</v>
      </c>
      <c s="355" r="CZ13"/>
      <c s="355" r="DA13"/>
      <c s="357" r="DB13" t="n">
        <f>IF(DB$6=0,0,(P13*P$6+AH13*AH$6+AZ13*AZ$6+BR13*BR$6+CJ13*CJ$6)/DB$6)</f>
        <v>0</v>
      </c>
      <c s="355" r="DC13"/>
      <c s="355" r="DD13"/>
      <c s="357" r="DE13" t="n">
        <f>IF(DE$6=0,0,(S13*S$6+AK13*AK$6+BC13*BC$6+BU13*BU$6+CM13*CM$6)/DE$6)</f>
        <v>0</v>
      </c>
      <c s="350" r="DF13"/>
      <c s="351" r="DG13"/>
    </row>
    <row r="14" spans="1:111" outlineLevel="1">
      <c s="321" r="A14"/>
      <c s="358" r="B14" t="str">
        <v>            -购置税补贴</v>
      </c>
      <c s="336" r="C14"/>
      <c s="354" r="D14"/>
      <c s="350" r="E14"/>
      <c s="339" r="F14"/>
      <c s="354" r="G14"/>
      <c s="350" r="H14"/>
      <c s="339" r="I14"/>
      <c s="354" r="J14"/>
      <c s="350" r="K14"/>
      <c s="339" r="L14"/>
      <c s="354" r="M14"/>
      <c s="350" r="N14"/>
      <c s="339" r="O14"/>
      <c s="354" r="P14"/>
      <c s="350" r="Q14"/>
      <c s="324" r="R14"/>
      <c s="355" r="S14" t="n">
        <f>IF(S$6=0,0,(D14*D$6+G14*G$6+J14*J$6+M14*M$6+P14*P$6)/S$6)</f>
        <v>0</v>
      </c>
      <c s="350" r="T14"/>
      <c s="324" r="U14"/>
      <c s="354" r="V14"/>
      <c s="350" r="W14"/>
      <c s="339" r="X14"/>
      <c s="354" r="Y14"/>
      <c s="350" r="Z14"/>
      <c s="339" r="AA14"/>
      <c s="354" r="AB14"/>
      <c s="350" r="AC14"/>
      <c s="339" r="AD14"/>
      <c s="354" r="AE14"/>
      <c s="350" r="AF14"/>
      <c s="339" r="AG14"/>
      <c s="354" r="AH14"/>
      <c s="350" r="AI14"/>
      <c s="324" r="AJ14"/>
      <c s="355" r="AK14" t="n">
        <f>IF(AK$6=0,0,(V14*V$6+Y14*Y$6+AB14*AB$6+AE14*AE$6+AH14*AH$6)/AK$6)</f>
        <v>0</v>
      </c>
      <c s="350" r="AL14"/>
      <c s="324" r="AM14"/>
      <c s="354" r="AN14"/>
      <c s="350" r="AO14"/>
      <c s="339" r="AP14"/>
      <c s="354" r="AQ14"/>
      <c s="350" r="AR14"/>
      <c s="339" r="AS14"/>
      <c s="354" r="AT14"/>
      <c s="350" r="AU14"/>
      <c s="339" r="AV14"/>
      <c s="354" r="AW14"/>
      <c s="350" r="AX14"/>
      <c s="339" r="AY14"/>
      <c s="354" r="AZ14"/>
      <c s="350" r="BA14"/>
      <c s="324" r="BB14"/>
      <c s="355" r="BC14" t="n">
        <f>IF(BC$6=0,0,(AN14*AN$6+AQ14*AQ$6+AT14*AT$6+AW14*AW$6+AZ14*AZ$6)/BC$6)</f>
        <v>0</v>
      </c>
      <c s="350" r="BD14"/>
      <c s="324" r="BE14"/>
      <c s="354" r="BF14"/>
      <c s="350" r="BG14"/>
      <c s="339" r="BH14"/>
      <c s="354" r="BI14"/>
      <c s="350" r="BJ14"/>
      <c s="339" r="BK14"/>
      <c s="354" r="BL14"/>
      <c s="350" r="BM14"/>
      <c s="339" r="BN14"/>
      <c s="354" r="BO14"/>
      <c s="350" r="BP14"/>
      <c s="339" r="BQ14"/>
      <c s="354" r="BR14"/>
      <c s="350" r="BS14"/>
      <c s="324" r="BT14"/>
      <c s="355" r="BU14" t="n">
        <f>IF(BU$6=0,0,(BF14*BF$6+BI14*BI$6+BL14*BL$6+BO14*BO$6+BR14*BR$6)/BU$6)</f>
        <v>0</v>
      </c>
      <c s="350" r="BV14"/>
      <c s="324" r="BW14"/>
      <c s="354" r="BX14"/>
      <c s="350" r="BY14"/>
      <c s="339" r="BZ14"/>
      <c s="354" r="CA14"/>
      <c s="350" r="CB14"/>
      <c s="339" r="CC14"/>
      <c s="354" r="CD14"/>
      <c s="350" r="CE14"/>
      <c s="339" r="CF14"/>
      <c s="354" r="CG14"/>
      <c s="350" r="CH14"/>
      <c s="339" r="CI14"/>
      <c s="354" r="CJ14"/>
      <c s="350" r="CK14"/>
      <c s="324" r="CL14"/>
      <c s="356" r="CM14" t="n">
        <f>IF(CM$6=0,0,(BX14*BX$6+CA14*CA$6+CD14*CD$6+CG14*CG$6+CJ14*CJ$6)/CM$6)</f>
        <v>0</v>
      </c>
      <c s="350" r="CN14"/>
      <c s="325" r="CO14"/>
      <c s="355" r="CP14" t="n">
        <f>IF(CP$6=0,0,(D14*D$6+V14*V$6+AN14*AN$6+BF14*BF$6+BX14*BX$6)/CP$6)</f>
        <v>0</v>
      </c>
      <c s="355" r="CQ14"/>
      <c s="355" r="CR14"/>
      <c s="355" r="CS14" t="n">
        <f>IF(CS$6=0,0,(G14*G$6+Y14*Y$6+AQ14*AQ$6+BI14*BI$6+CA14*CA$6)/CS$6)</f>
        <v>0</v>
      </c>
      <c s="355" r="CT14"/>
      <c s="359" r="CU14"/>
      <c s="355" r="CV14" t="n">
        <f>IF(CV$6=0,0,(J14*J$6+AB14*AB$6+AT14*AT$6+BL14*BL$6+CD14*CD$6)/CV$6)</f>
        <v>0</v>
      </c>
      <c s="355" r="CW14"/>
      <c s="359" r="CX14"/>
      <c s="355" r="CY14" t="n">
        <f>IF(CY$6=0,0,(M14*M$6+AE14*AE$6+AW14*AW$6+BO14*BO$6+CG14*CG$6)/CY$6)</f>
        <v>0</v>
      </c>
      <c s="355" r="CZ14"/>
      <c s="359" r="DA14"/>
      <c s="355" r="DB14" t="n">
        <f>IF(DB$6=0,0,(P14*P$6+AH14*AH$6+AZ14*AZ$6+BR14*BR$6+CJ14*CJ$6)/DB$6)</f>
        <v>0</v>
      </c>
      <c s="355" r="DC14"/>
      <c s="355" r="DD14"/>
      <c s="355" r="DE14" t="n">
        <f>IF(DE$6=0,0,(S14*S$6+AK14*AK$6+BC14*BC$6+BU14*BU$6+CM14*CM$6)/DE$6)</f>
        <v>0</v>
      </c>
      <c s="350" r="DF14"/>
      <c s="351" r="DG14"/>
    </row>
    <row r="15" spans="1:111" ht="16.05" customHeight="1" outlineLevel="1">
      <c s="321" r="A15"/>
      <c s="353" r="B15" t="str">
        <v>            -其他</v>
      </c>
      <c s="336" r="C15"/>
      <c s="354" r="D15"/>
      <c s="350" r="E15"/>
      <c s="339" r="F15"/>
      <c s="354" r="G15"/>
      <c s="350" r="H15"/>
      <c s="339" r="I15"/>
      <c s="354" r="J15"/>
      <c s="350" r="K15"/>
      <c s="339" r="L15"/>
      <c s="354" r="M15"/>
      <c s="350" r="N15"/>
      <c s="339" r="O15"/>
      <c s="354" r="P15"/>
      <c s="350" r="Q15"/>
      <c s="324" r="R15"/>
      <c s="355" r="S15" t="n">
        <f>IF(S$6=0,0,(D15*D$6+G15*G$6+J15*J$6+M15*M$6+P15*P$6)/S$6)</f>
        <v>0</v>
      </c>
      <c s="350" r="T15"/>
      <c s="324" r="U15"/>
      <c s="354" r="V15"/>
      <c s="350" r="W15"/>
      <c s="339" r="X15"/>
      <c s="354" r="Y15"/>
      <c s="350" r="Z15"/>
      <c s="339" r="AA15"/>
      <c s="354" r="AB15"/>
      <c s="350" r="AC15"/>
      <c s="339" r="AD15"/>
      <c s="354" r="AE15"/>
      <c s="350" r="AF15"/>
      <c s="339" r="AG15"/>
      <c s="354" r="AH15"/>
      <c s="350" r="AI15"/>
      <c s="324" r="AJ15"/>
      <c s="355" r="AK15" t="n">
        <f>IF(AK$6=0,0,(V15*V$6+Y15*Y$6+AB15*AB$6+AE15*AE$6+AH15*AH$6)/AK$6)</f>
        <v>0</v>
      </c>
      <c s="350" r="AL15"/>
      <c s="324" r="AM15"/>
      <c s="354" r="AN15"/>
      <c s="350" r="AO15"/>
      <c s="339" r="AP15"/>
      <c s="354" r="AQ15"/>
      <c s="350" r="AR15"/>
      <c s="339" r="AS15"/>
      <c s="354" r="AT15"/>
      <c s="350" r="AU15"/>
      <c s="339" r="AV15"/>
      <c s="354" r="AW15"/>
      <c s="350" r="AX15"/>
      <c s="339" r="AY15"/>
      <c s="354" r="AZ15"/>
      <c s="350" r="BA15"/>
      <c s="324" r="BB15"/>
      <c s="355" r="BC15" t="n">
        <f>IF(BC$6=0,0,(AN15*AN$6+AQ15*AQ$6+AT15*AT$6+AW15*AW$6+AZ15*AZ$6)/BC$6)</f>
        <v>0</v>
      </c>
      <c s="350" r="BD15"/>
      <c s="324" r="BE15"/>
      <c s="354" r="BF15"/>
      <c s="350" r="BG15"/>
      <c s="339" r="BH15"/>
      <c s="354" r="BI15"/>
      <c s="350" r="BJ15"/>
      <c s="339" r="BK15"/>
      <c s="354" r="BL15"/>
      <c s="350" r="BM15"/>
      <c s="339" r="BN15"/>
      <c s="354" r="BO15"/>
      <c s="350" r="BP15"/>
      <c s="339" r="BQ15"/>
      <c s="354" r="BR15"/>
      <c s="350" r="BS15"/>
      <c s="324" r="BT15"/>
      <c s="355" r="BU15" t="n">
        <f>IF(BU$6=0,0,(BF15*BF$6+BI15*BI$6+BL15*BL$6+BO15*BO$6+BR15*BR$6)/BU$6)</f>
        <v>0</v>
      </c>
      <c s="350" r="BV15"/>
      <c s="324" r="BW15"/>
      <c s="354" r="BX15"/>
      <c s="350" r="BY15"/>
      <c s="339" r="BZ15"/>
      <c s="354" r="CA15"/>
      <c s="350" r="CB15"/>
      <c s="339" r="CC15"/>
      <c s="354" r="CD15"/>
      <c s="350" r="CE15"/>
      <c s="339" r="CF15"/>
      <c s="354" r="CG15"/>
      <c s="350" r="CH15"/>
      <c s="339" r="CI15"/>
      <c s="354" r="CJ15"/>
      <c s="350" r="CK15"/>
      <c s="324" r="CL15"/>
      <c s="356" r="CM15" t="n">
        <f>IF(CM$6=0,0,(BX15*BX$6+CA15*CA$6+CD15*CD$6+CG15*CG$6+CJ15*CJ$6)/CM$6)</f>
        <v>0</v>
      </c>
      <c s="350" r="CN15"/>
      <c s="325" r="CO15"/>
      <c s="355" r="CP15" t="n">
        <f>IF(CP$6=0,0,(D15*D$6+V15*V$6+AN15*AN$6+BF15*BF$6+BX15*BX$6)/CP$6)</f>
        <v>0</v>
      </c>
      <c s="355" r="CQ15"/>
      <c s="355" r="CR15"/>
      <c s="355" r="CS15" t="n">
        <f>IF(CS$6=0,0,(G15*G$6+Y15*Y$6+AQ15*AQ$6+BI15*BI$6+CA15*CA$6)/CS$6)</f>
        <v>0</v>
      </c>
      <c s="355" r="CT15"/>
      <c s="359" r="CU15"/>
      <c s="355" r="CV15" t="n">
        <f>IF(CV$6=0,0,(J15*J$6+AB15*AB$6+AT15*AT$6+BL15*BL$6+CD15*CD$6)/CV$6)</f>
        <v>0</v>
      </c>
      <c s="355" r="CW15"/>
      <c s="359" r="CX15"/>
      <c s="355" r="CY15" t="n">
        <f>IF(CY$6=0,0,(M15*M$6+AE15*AE$6+AW15*AW$6+BO15*BO$6+CG15*CG$6)/CY$6)</f>
        <v>0</v>
      </c>
      <c s="355" r="CZ15"/>
      <c s="359" r="DA15"/>
      <c s="355" r="DB15" t="n">
        <f>IF(DB$6=0,0,(P15*P$6+AH15*AH$6+AZ15*AZ$6+BR15*BR$6+CJ15*CJ$6)/DB$6)</f>
        <v>0</v>
      </c>
      <c s="355" r="DC15"/>
      <c s="355" r="DD15"/>
      <c s="355" r="DE15" t="n">
        <f>IF(DE$6=0,0,(S15*S$6+AK15*AK$6+BC15*BC$6+BU15*BU$6+CM15*CM$6)/DE$6)</f>
        <v>0</v>
      </c>
      <c s="350" r="DF15"/>
      <c s="351" r="DG15"/>
    </row>
    <row r="16" spans="1:111">
      <c s="314" r="A16"/>
      <c s="343" r="B16" t="str">
        <v>净收入</v>
      </c>
      <c s="344" r="C16"/>
      <c s="360" r="D16" t="n">
        <f>SUM(D8:D10)</f>
        <v>0</v>
      </c>
      <c s="361" r="E16" t="n">
        <f>IF(D$16=0,0,D16/D$16)</f>
        <v>0</v>
      </c>
      <c s="326" r="F16"/>
      <c s="360" r="G16" t="n">
        <f>SUM(G8:G10)</f>
        <v>0</v>
      </c>
      <c s="361" r="H16" t="n">
        <f>IF(G$16=0,0,G16/G$16)</f>
        <v>0</v>
      </c>
      <c s="362" r="I16"/>
      <c s="360" r="J16" t="n">
        <f>SUM(J8:J10)</f>
        <v>0</v>
      </c>
      <c s="361" r="K16" t="n">
        <f>IF(J$16=0,0,J16/J$16)</f>
        <v>0</v>
      </c>
      <c s="326" r="L16"/>
      <c s="360" r="M16" t="n">
        <f>SUM(M8:M10)</f>
        <v>0</v>
      </c>
      <c s="361" r="N16" t="n">
        <f>IF(M$16=0,0,M16/M$16)</f>
        <v>0</v>
      </c>
      <c s="326" r="O16"/>
      <c s="360" r="P16" t="n">
        <f>SUM(P8:P10)</f>
        <v>0</v>
      </c>
      <c s="361" r="Q16" t="n">
        <f>IF(P$16=0,0,P16/P$16)</f>
        <v>0</v>
      </c>
      <c s="346" r="R16"/>
      <c s="360" r="S16" t="n">
        <f>IF(S$6=0,0,(D16*D$6+G16*G$6+J16*J$6+M16*M$6+P16*P$6)/S$6)</f>
        <v>0</v>
      </c>
      <c s="361" r="T16" t="n">
        <f>IF(S$16=0,0,S16/S$16)</f>
        <v>0</v>
      </c>
      <c s="324" r="U16"/>
      <c s="360" r="V16" t="n">
        <f>SUM(V8:V10)</f>
        <v>0</v>
      </c>
      <c s="361" r="W16" t="n">
        <f>IF(V$16=0,0,V16/V$16)</f>
        <v>0</v>
      </c>
      <c s="326" r="X16"/>
      <c s="360" r="Y16" t="n">
        <f>SUM(Y8:Y10)</f>
        <v>0</v>
      </c>
      <c s="361" r="Z16" t="n">
        <f>IF(Y$16=0,0,Y16/Y$16)</f>
        <v>0</v>
      </c>
      <c s="362" r="AA16"/>
      <c s="360" r="AB16" t="n">
        <f>SUM(AB8:AB10)</f>
        <v>0</v>
      </c>
      <c s="361" r="AC16" t="n">
        <f>IF(AB$16=0,0,AB16/AB$16)</f>
        <v>0</v>
      </c>
      <c s="326" r="AD16"/>
      <c s="360" r="AE16" t="n">
        <f>SUM(AE8:AE10)</f>
        <v>0</v>
      </c>
      <c s="361" r="AF16" t="n">
        <f>IF(AE$16=0,0,AE16/AE$16)</f>
        <v>0</v>
      </c>
      <c s="326" r="AG16"/>
      <c s="360" r="AH16" t="n">
        <f>SUM(AH8:AH10)</f>
        <v>0</v>
      </c>
      <c s="361" r="AI16" t="n">
        <f>IF(AH$16=0,0,AH16/AH$16)</f>
        <v>0</v>
      </c>
      <c s="346" r="AJ16"/>
      <c s="360" r="AK16" t="n">
        <f>IF(AK$6=0,0,(V16*V$6+Y16*Y$6+AB16*AB$6+AE16*AE$6+AH16*AH$6)/AK$6)</f>
        <v>0</v>
      </c>
      <c s="361" r="AL16" t="n">
        <f>IF(AK$16=0,0,AK16/AK$16)</f>
        <v>0</v>
      </c>
      <c s="324" r="AM16"/>
      <c s="360" r="AN16" t="n">
        <f>SUM(AN8:AN10)</f>
        <v>0</v>
      </c>
      <c s="361" r="AO16" t="n">
        <f>IF(AN$16=0,0,AN16/AN$16)</f>
        <v>0</v>
      </c>
      <c s="326" r="AP16"/>
      <c s="360" r="AQ16" t="n">
        <f>SUM(AQ8:AQ10)</f>
        <v>0</v>
      </c>
      <c s="361" r="AR16" t="n">
        <f>IF(AQ$16=0,0,AQ16/AQ$16)</f>
        <v>0</v>
      </c>
      <c s="362" r="AS16"/>
      <c s="360" r="AT16" t="n">
        <f>SUM(AT8:AT10)</f>
        <v>0</v>
      </c>
      <c s="361" r="AU16" t="n">
        <f>IF(AT$16=0,0,AT16/AT$16)</f>
        <v>0</v>
      </c>
      <c s="326" r="AV16"/>
      <c s="360" r="AW16" t="n">
        <f>SUM(AW8:AW10)</f>
        <v>0</v>
      </c>
      <c s="361" r="AX16" t="n">
        <f>IF(AW$16=0,0,AW16/AW$16)</f>
        <v>0</v>
      </c>
      <c s="326" r="AY16"/>
      <c s="360" r="AZ16" t="n">
        <f>SUM(AZ8:AZ10)</f>
        <v>0</v>
      </c>
      <c s="361" r="BA16" t="n">
        <f>IF(AZ$16=0,0,AZ16/AZ$16)</f>
        <v>0</v>
      </c>
      <c s="346" r="BB16"/>
      <c s="360" r="BC16" t="n">
        <f>IF(BC$6=0,0,(AN16*AN$6+AQ16*AQ$6+AT16*AT$6+AW16*AW$6+AZ16*AZ$6)/BC$6)</f>
        <v>0</v>
      </c>
      <c s="361" r="BD16" t="n">
        <f>IF(BC$16=0,0,BC16/BC$16)</f>
        <v>0</v>
      </c>
      <c s="324" r="BE16"/>
      <c s="360" r="BF16" t="n">
        <f>SUM(BF8:BF10)</f>
        <v>0</v>
      </c>
      <c s="361" r="BG16" t="n">
        <f>IF(BF$16=0,0,BF16/BF$16)</f>
        <v>0</v>
      </c>
      <c s="326" r="BH16"/>
      <c s="360" r="BI16" t="n">
        <f>SUM(BI8:BI10)</f>
        <v>0</v>
      </c>
      <c s="361" r="BJ16" t="n">
        <f>IF(BI$16=0,0,BI16/BI$16)</f>
        <v>0</v>
      </c>
      <c s="362" r="BK16"/>
      <c s="360" r="BL16" t="n">
        <f>SUM(BL8:BL10)</f>
        <v>0</v>
      </c>
      <c s="361" r="BM16" t="n">
        <f>IF(BL$16=0,0,BL16/BL$16)</f>
        <v>0</v>
      </c>
      <c s="326" r="BN16"/>
      <c s="360" r="BO16" t="n">
        <f>SUM(BO8:BO10)</f>
        <v>0</v>
      </c>
      <c s="361" r="BP16" t="n">
        <f>IF(BO$16=0,0,BO16/BO$16)</f>
        <v>0</v>
      </c>
      <c s="326" r="BQ16"/>
      <c s="360" r="BR16" t="n">
        <f>SUM(BR8:BR10)</f>
        <v>0</v>
      </c>
      <c s="361" r="BS16" t="n">
        <f>IF(BR$16=0,0,BR16/BR$16)</f>
        <v>0</v>
      </c>
      <c s="346" r="BT16"/>
      <c s="360" r="BU16" t="n">
        <f>IF(BU$6=0,0,(BF16*BF$6+BI16*BI$6+BL16*BL$6+BO16*BO$6+BR16*BR$6)/BU$6)</f>
        <v>0</v>
      </c>
      <c s="361" r="BV16" t="n">
        <f>IF(BU$16=0,0,BU16/BU$16)</f>
        <v>0</v>
      </c>
      <c s="324" r="BW16"/>
      <c s="360" r="BX16" t="n">
        <f>SUM(BX8:BX10)</f>
        <v>0</v>
      </c>
      <c s="361" r="BY16" t="n">
        <f>IF(BX$16=0,0,BX16/BX$16)</f>
        <v>0</v>
      </c>
      <c s="326" r="BZ16"/>
      <c s="360" r="CA16" t="n">
        <f>SUM(CA8:CA10)</f>
        <v>0</v>
      </c>
      <c s="361" r="CB16" t="n">
        <f>IF(CA$16=0,0,CA16/CA$16)</f>
        <v>0</v>
      </c>
      <c s="362" r="CC16"/>
      <c s="360" r="CD16" t="n">
        <f>SUM(CD8:CD10)</f>
        <v>0</v>
      </c>
      <c s="361" r="CE16" t="n">
        <f>IF(CD$16=0,0,CD16/CD$16)</f>
        <v>0</v>
      </c>
      <c s="326" r="CF16"/>
      <c s="360" r="CG16" t="n">
        <f>SUM(CG8:CG10)</f>
        <v>0</v>
      </c>
      <c s="361" r="CH16" t="n">
        <f>IF(CG$16=0,0,CG16/CG$16)</f>
        <v>0</v>
      </c>
      <c s="326" r="CI16"/>
      <c s="360" r="CJ16" t="n">
        <f>SUM(CJ8:CJ10)</f>
        <v>0</v>
      </c>
      <c s="361" r="CK16" t="n">
        <f>IF(CJ$16=0,0,CJ16/CJ$16)</f>
        <v>0</v>
      </c>
      <c s="346" r="CL16"/>
      <c s="360" r="CM16" t="n">
        <f>IF(CM$6=0,0,(BX16*BX$6+CA16*CA$6+CD16*CD$6+CG16*CG$6+CJ16*CJ$6)/CM$6)</f>
        <v>0</v>
      </c>
      <c s="361" r="CN16" t="n">
        <f>IF(CM$16=0,0,CM16/CM$16)</f>
        <v>0</v>
      </c>
      <c s="325" r="CO16"/>
      <c s="360" r="CP16" t="n">
        <f>IF(CP$6=0,0,(D16*D$6+V16*V$6+AN16*AN$6+BF16*BF$6+BX16*BX$6)/CP$6)</f>
        <v>0</v>
      </c>
      <c s="361" r="CQ16" t="n">
        <f>IF(CP$16=0,0,CP16/CP$16)</f>
        <v>0</v>
      </c>
      <c s="326" r="CR16"/>
      <c s="360" r="CS16" t="n">
        <f>IF(CS$6=0,0,(G16*G$6+Y16*Y$6+AQ16*AQ$6+BI16*BI$6+CA16*CA$6)/CS$6)</f>
        <v>0</v>
      </c>
      <c s="361" r="CT16" t="n">
        <f>IF(CS$16=0,0,CS16/CS$16)</f>
        <v>0</v>
      </c>
      <c s="360" r="CU16"/>
      <c s="360" r="CV16" t="n">
        <f>IF(CV$6=0,0,(J16*J$6+AB16*AB$6+AT16*AT$6+BL16*BL$6+CD16*CD$6)/CV$6)</f>
        <v>0</v>
      </c>
      <c s="361" r="CW16" t="n">
        <f>IF(CV$16=0,0,CV16/CV$16)</f>
        <v>0</v>
      </c>
      <c s="360" r="CX16"/>
      <c s="360" r="CY16" t="n">
        <f>IF(CY$6=0,0,(M16*M$6+AE16*AE$6+AW16*AW$6+BO16*BO$6+CG16*CG$6)/CY$6)</f>
        <v>0</v>
      </c>
      <c s="361" r="CZ16" t="n">
        <f>IF(CY$16=0,0,CY16/CY$16)</f>
        <v>0</v>
      </c>
      <c s="360" r="DA16"/>
      <c s="360" r="DB16" t="n">
        <f>IF(DB$6=0,0,(P16*P$6+AH16*AH$6+AZ16*AZ$6+BR16*BR$6+CJ16*CJ$6)/DB$6)</f>
        <v>0</v>
      </c>
      <c s="361" r="DC16" t="n">
        <f>IF(DB$16=0,0,DB16/DB$16)</f>
        <v>0</v>
      </c>
      <c s="326" r="DD16"/>
      <c s="360" r="DE16" t="n">
        <f>IF(DE$6=0,0,(S16*S$6+AK16*AK$6+BC16*BC$6+BU16*BU$6+CM16*CM$6)/DE$6)</f>
        <v>0</v>
      </c>
      <c s="361" r="DF16" t="n">
        <f>IF(DE$16=0,0,DE16/DE$16)</f>
        <v>0</v>
      </c>
      <c s="335" r="DG16"/>
    </row>
    <row r="17" spans="1:111">
      <c s="314" r="A17"/>
      <c s="343" r="B17" t="str">
        <v>成本总额</v>
      </c>
      <c s="344" r="C17"/>
      <c s="360" r="D17" t="n">
        <f>SUM(D18,D22,D26,D38,D43:D44,D49)</f>
        <v>0</v>
      </c>
      <c s="363" r="E17" t="n">
        <f>IF(D$16=0,0,-D17/D$16)</f>
        <v>0</v>
      </c>
      <c s="326" r="F17"/>
      <c s="360" r="G17" t="n">
        <f>SUM(G18,G22,G26,G38,G43:G44,G49)</f>
        <v>0</v>
      </c>
      <c s="363" r="H17" t="n">
        <f>IF(G$16=0,0,-G17/G$16)</f>
        <v>0</v>
      </c>
      <c s="362" r="I17"/>
      <c s="360" r="J17" t="n">
        <f>SUM(J18,J22,J26,J38,J43:J44,J49)</f>
        <v>0</v>
      </c>
      <c s="363" r="K17" t="n">
        <f>IF(J$16=0,0,-J17/J$16)</f>
        <v>0</v>
      </c>
      <c s="326" r="L17"/>
      <c s="360" r="M17" t="n">
        <f>SUM(M18,M22,M26,M38,M43:M44,M49)</f>
        <v>0</v>
      </c>
      <c s="363" r="N17" t="n">
        <f>IF(M$16=0,0,-M17/M$16)</f>
        <v>0</v>
      </c>
      <c s="326" r="O17"/>
      <c s="360" r="P17" t="n">
        <f>SUM(P18,P22,P26,P38,P43:P44,P49)</f>
        <v>0</v>
      </c>
      <c s="363" r="Q17" t="n">
        <f>IF(P$16=0,0,-P17/P$16)</f>
        <v>0</v>
      </c>
      <c s="346" r="R17"/>
      <c s="326" r="S17" t="n">
        <f>IF(S$6=0,0,(D17*D$6+G17*G$6+J17*J$6+M17*M$6+P17*P$6)/S$6)</f>
        <v>0</v>
      </c>
      <c s="363" r="T17" t="n">
        <f>IF(S$16=0,0,-S17/S$16)</f>
        <v>0</v>
      </c>
      <c s="324" r="U17"/>
      <c s="360" r="V17" t="n">
        <f>SUM(V18,V22,V26,V38,V43:V44,V49)</f>
        <v>0</v>
      </c>
      <c s="363" r="W17" t="n">
        <f>IF(V$16=0,0,-V17/V$16)</f>
        <v>0</v>
      </c>
      <c s="326" r="X17"/>
      <c s="360" r="Y17" t="n">
        <f>SUM(Y18,Y22,Y26,Y38,Y43:Y44,Y49)</f>
        <v>0</v>
      </c>
      <c s="363" r="Z17" t="n">
        <f>IF(Y$16=0,0,-Y17/Y$16)</f>
        <v>0</v>
      </c>
      <c s="362" r="AA17"/>
      <c s="360" r="AB17" t="n">
        <f>SUM(AB18,AB22,AB26,AB38,AB43:AB44,AB49)</f>
        <v>0</v>
      </c>
      <c s="363" r="AC17" t="n">
        <f>IF(AB$16=0,0,-AB17/AB$16)</f>
        <v>0</v>
      </c>
      <c s="326" r="AD17"/>
      <c s="360" r="AE17" t="n">
        <f>SUM(AE18,AE22,AE26,AE38,AE43:AE44,AE49)</f>
        <v>0</v>
      </c>
      <c s="363" r="AF17" t="n">
        <f>IF(AE$16=0,0,-AE17/AE$16)</f>
        <v>0</v>
      </c>
      <c s="326" r="AG17"/>
      <c s="360" r="AH17" t="n">
        <f>SUM(AH18,AH22,AH26,AH38,AH43:AH44,AH49)</f>
        <v>0</v>
      </c>
      <c s="363" r="AI17" t="n">
        <f>IF(AH$16=0,0,-AH17/AH$16)</f>
        <v>0</v>
      </c>
      <c s="346" r="AJ17"/>
      <c s="326" r="AK17" t="n">
        <f>IF(AK$6=0,0,(V17*V$6+Y17*Y$6+AB17*AB$6+AE17*AE$6+AH17*AH$6)/AK$6)</f>
        <v>0</v>
      </c>
      <c s="363" r="AL17" t="n">
        <f>IF(AK$16=0,0,-AK17/AK$16)</f>
        <v>0</v>
      </c>
      <c s="324" r="AM17"/>
      <c s="360" r="AN17" t="n">
        <f>SUM(AN18,AN22,AN26,AN38,AN43:AN44,AN49)</f>
        <v>0</v>
      </c>
      <c s="363" r="AO17" t="n">
        <f>IF(AN$16=0,0,-AN17/AN$16)</f>
        <v>0</v>
      </c>
      <c s="326" r="AP17"/>
      <c s="360" r="AQ17" t="n">
        <f>SUM(AQ18,AQ22,AQ26,AQ38,AQ43:AQ44,AQ49)</f>
        <v>0</v>
      </c>
      <c s="363" r="AR17" t="n">
        <f>IF(AQ$16=0,0,-AQ17/AQ$16)</f>
        <v>0</v>
      </c>
      <c s="362" r="AS17"/>
      <c s="360" r="AT17" t="n">
        <f>SUM(AT18,AT22,AT26,AT38,AT43:AT44,AT49)</f>
        <v>0</v>
      </c>
      <c s="363" r="AU17" t="n">
        <f>IF(AT$16=0,0,-AT17/AT$16)</f>
        <v>0</v>
      </c>
      <c s="326" r="AV17"/>
      <c s="360" r="AW17" t="n">
        <f>SUM(AW18,AW22,AW26,AW38,AW43:AW44,AW49)</f>
        <v>0</v>
      </c>
      <c s="363" r="AX17" t="n">
        <f>IF(AW$16=0,0,-AW17/AW$16)</f>
        <v>0</v>
      </c>
      <c s="326" r="AY17"/>
      <c s="360" r="AZ17" t="n">
        <f>SUM(AZ18,AZ22,AZ26,AZ38,AZ43:AZ44,AZ49)</f>
        <v>0</v>
      </c>
      <c s="363" r="BA17" t="n">
        <f>IF(AZ$16=0,0,-AZ17/AZ$16)</f>
        <v>0</v>
      </c>
      <c s="346" r="BB17"/>
      <c s="326" r="BC17" t="n">
        <f>IF(BC$6=0,0,(AN17*AN$6+AQ17*AQ$6+AT17*AT$6+AW17*AW$6+AZ17*AZ$6)/BC$6)</f>
        <v>0</v>
      </c>
      <c s="363" r="BD17" t="n">
        <f>IF(BC$16=0,0,-BC17/BC$16)</f>
        <v>0</v>
      </c>
      <c s="324" r="BE17"/>
      <c s="360" r="BF17" t="n">
        <f>SUM(BF18,BF22,BF26,BF38,BF43:BF44,BF49)</f>
        <v>0</v>
      </c>
      <c s="363" r="BG17" t="n">
        <f>IF(BF$16=0,0,-BF17/BF$16)</f>
        <v>0</v>
      </c>
      <c s="326" r="BH17"/>
      <c s="360" r="BI17" t="n">
        <f>SUM(BI18,BI22,BI26,BI38,BI43:BI44,BI49)</f>
        <v>0</v>
      </c>
      <c s="363" r="BJ17" t="n">
        <f>IF(BI$16=0,0,-BI17/BI$16)</f>
        <v>0</v>
      </c>
      <c s="362" r="BK17"/>
      <c s="360" r="BL17" t="n">
        <f>SUM(BL18,BL22,BL26,BL38,BL43:BL44,BL49)</f>
        <v>0</v>
      </c>
      <c s="363" r="BM17" t="n">
        <f>IF(BL$16=0,0,-BL17/BL$16)</f>
        <v>0</v>
      </c>
      <c s="326" r="BN17"/>
      <c s="360" r="BO17" t="n">
        <f>SUM(BO18,BO22,BO26,BO38,BO43:BO44,BO49)</f>
        <v>0</v>
      </c>
      <c s="363" r="BP17" t="n">
        <f>IF(BO$16=0,0,-BO17/BO$16)</f>
        <v>0</v>
      </c>
      <c s="326" r="BQ17"/>
      <c s="360" r="BR17" t="n">
        <f>SUM(BR18,BR22,BR26,BR38,BR43:BR44,BR49)</f>
        <v>0</v>
      </c>
      <c s="363" r="BS17" t="n">
        <f>IF(BR$16=0,0,-BR17/BR$16)</f>
        <v>0</v>
      </c>
      <c s="346" r="BT17"/>
      <c s="326" r="BU17" t="n">
        <f>IF(BU$6=0,0,(BF17*BF$6+BI17*BI$6+BL17*BL$6+BO17*BO$6+BR17*BR$6)/BU$6)</f>
        <v>0</v>
      </c>
      <c s="363" r="BV17" t="n">
        <f>IF(BU$16=0,0,-BU17/BU$16)</f>
        <v>0</v>
      </c>
      <c s="324" r="BW17"/>
      <c s="360" r="BX17" t="n">
        <f>SUM(BX18,BX22,BX26,BX38,BX43:BX44,BX49)</f>
        <v>0</v>
      </c>
      <c s="363" r="BY17" t="n">
        <f>IF(BX$16=0,0,-BX17/BX$16)</f>
        <v>0</v>
      </c>
      <c s="326" r="BZ17"/>
      <c s="360" r="CA17" t="n">
        <f>SUM(CA18,CA22,CA26,CA38,CA43:CA44,CA49)</f>
        <v>0</v>
      </c>
      <c s="363" r="CB17" t="n">
        <f>IF(CA$16=0,0,-CA17/CA$16)</f>
        <v>0</v>
      </c>
      <c s="362" r="CC17"/>
      <c s="360" r="CD17" t="n">
        <f>SUM(CD18,CD22,CD26,CD38,CD43:CD44,CD49)</f>
        <v>0</v>
      </c>
      <c s="363" r="CE17" t="n">
        <f>IF(CD$16=0,0,-CD17/CD$16)</f>
        <v>0</v>
      </c>
      <c s="326" r="CF17"/>
      <c s="360" r="CG17" t="n">
        <f>SUM(CG18,CG22,CG26,CG38,CG43:CG44,CG49)</f>
        <v>0</v>
      </c>
      <c s="363" r="CH17" t="n">
        <f>IF(CG$16=0,0,-CG17/CG$16)</f>
        <v>0</v>
      </c>
      <c s="326" r="CI17"/>
      <c s="360" r="CJ17" t="n">
        <f>SUM(CJ18,CJ22,CJ26,CJ38,CJ43:CJ44,CJ49)</f>
        <v>0</v>
      </c>
      <c s="363" r="CK17" t="n">
        <f>IF(CJ$16=0,0,-CJ17/CJ$16)</f>
        <v>0</v>
      </c>
      <c s="346" r="CL17"/>
      <c s="360" r="CM17" t="n">
        <f>IF(CM$6=0,0,(BX17*BX$6+CA17*CA$6+CD17*CD$6+CG17*CG$6+CJ17*CJ$6)/CM$6)</f>
        <v>0</v>
      </c>
      <c s="342" r="CN17" t="n">
        <f>IF(CM$16=0,0,-CM17/CM$16)</f>
        <v>0</v>
      </c>
      <c s="325" r="CO17"/>
      <c s="326" r="CP17" t="n">
        <f>IF(CP$6=0,0,(D17*D$6+V17*V$6+AN17*AN$6+BF17*BF$6+BX17*BX$6)/CP$6)</f>
        <v>0</v>
      </c>
      <c s="363" r="CQ17" t="n">
        <f>IF(CP$16=0,0,-CP17/CP$16)</f>
        <v>0</v>
      </c>
      <c s="360" r="CR17"/>
      <c s="326" r="CS17" t="n">
        <f>IF(CS$6=0,0,(G17*G$6+Y17*Y$6+AQ17*AQ$6+BI17*BI$6+CA17*CA$6)/CS$6)</f>
        <v>0</v>
      </c>
      <c s="363" r="CT17" t="n">
        <f>IF(CS$16=0,0,-CS17/CS$16)</f>
        <v>0</v>
      </c>
      <c s="360" r="CU17"/>
      <c s="326" r="CV17" t="n">
        <f>IF(CV$6=0,0,(J17*J$6+AB17*AB$6+AT17*AT$6+BL17*BL$6+CD17*CD$6)/CV$6)</f>
        <v>0</v>
      </c>
      <c s="363" r="CW17" t="n">
        <f>IF(CV$16=0,0,-CV17/CV$16)</f>
        <v>0</v>
      </c>
      <c s="360" r="CX17"/>
      <c s="326" r="CY17" t="n">
        <f>IF(CY$6=0,0,(M17*M$6+AE17*AE$6+AW17*AW$6+BO17*BO$6+CG17*CG$6)/CY$6)</f>
        <v>0</v>
      </c>
      <c s="363" r="CZ17" t="n">
        <f>IF(CY$16=0,0,-CY17/CY$16)</f>
        <v>0</v>
      </c>
      <c s="360" r="DA17"/>
      <c s="326" r="DB17" t="n">
        <f>IF(DB$6=0,0,(P17*P$6+AH17*AH$6+AZ17*AZ$6+BR17*BR$6+CJ17*CJ$6)/DB$6)</f>
        <v>0</v>
      </c>
      <c s="363" r="DC17" t="n">
        <f>IF(DB$16=0,0,-DB17/DB$16)</f>
        <v>0</v>
      </c>
      <c s="360" r="DD17"/>
      <c s="360" r="DE17" t="n">
        <f>IF(DE$6=0,0,(S17*S$6+AK17*AK$6+BC17*BC$6+BU17*BU$6+CM17*CM$6)/DE$6)</f>
        <v>0</v>
      </c>
      <c s="342" r="DF17" t="n">
        <f>IF(DE$16=0,0,-DE17/DE$16)</f>
        <v>0</v>
      </c>
      <c s="364" r="DG17"/>
    </row>
    <row r="18" spans="1:111">
      <c s="365" r="A18"/>
      <c s="366" r="B18" t="str">
        <v>      BOM成本总额</v>
      </c>
      <c s="367" r="C18"/>
      <c s="368" r="D18" t="n">
        <f>SUM(D19:D21)</f>
        <v>0</v>
      </c>
      <c s="369" r="E18" t="n">
        <f>IF(D$16=0,0,-D18/D$16)</f>
        <v>0</v>
      </c>
      <c s="368" r="F18"/>
      <c s="368" r="G18" t="n">
        <f>SUM(G19:G21)</f>
        <v>0</v>
      </c>
      <c s="369" r="H18" t="n">
        <f>IF(G$16=0,0,-G18/G$16)</f>
        <v>0</v>
      </c>
      <c s="370" r="I18"/>
      <c s="368" r="J18" t="n">
        <f>SUM(J19:J21)</f>
        <v>0</v>
      </c>
      <c s="369" r="K18" t="n">
        <f>IF(J$16=0,0,-J18/J$16)</f>
        <v>0</v>
      </c>
      <c s="368" r="L18"/>
      <c s="368" r="M18" t="n">
        <f>SUM(M19:M21)</f>
        <v>0</v>
      </c>
      <c s="369" r="N18" t="n">
        <f>IF(M$16=0,0,-M18/M$16)</f>
        <v>0</v>
      </c>
      <c s="368" r="O18"/>
      <c s="368" r="P18" t="n">
        <f>SUM(P19:P21)</f>
        <v>0</v>
      </c>
      <c s="369" r="Q18" t="n">
        <f>IF(P$16=0,0,-P18/P$16)</f>
        <v>0</v>
      </c>
      <c s="371" r="R18"/>
      <c s="368" r="S18" t="n">
        <f>IF(S$6=0,0,(D18*D$6+G18*G$6+J18*J$6+M18*M$6+P18*P$6)/S$6)</f>
        <v>0</v>
      </c>
      <c s="369" r="T18" t="n">
        <f>IF(S$16=0,0,-S18/S$16)</f>
        <v>0</v>
      </c>
      <c s="371" r="U18"/>
      <c s="368" r="V18" t="n">
        <f>SUM(V19:V21)</f>
        <v>0</v>
      </c>
      <c s="369" r="W18" t="n">
        <f>IF(V$16=0,0,-V18/V$16)</f>
        <v>0</v>
      </c>
      <c s="368" r="X18"/>
      <c s="368" r="Y18" t="n">
        <f>SUM(Y19:Y21)</f>
        <v>0</v>
      </c>
      <c s="369" r="Z18" t="n">
        <f>IF(Y$16=0,0,-Y18/Y$16)</f>
        <v>0</v>
      </c>
      <c s="370" r="AA18"/>
      <c s="368" r="AB18" t="n">
        <f>SUM(AB19:AB21)</f>
        <v>0</v>
      </c>
      <c s="369" r="AC18" t="n">
        <f>IF(AB$16=0,0,-AB18/AB$16)</f>
        <v>0</v>
      </c>
      <c s="368" r="AD18"/>
      <c s="368" r="AE18" t="n">
        <f>SUM(AE19:AE21)</f>
        <v>0</v>
      </c>
      <c s="369" r="AF18" t="n">
        <f>IF(AE$16=0,0,-AE18/AE$16)</f>
        <v>0</v>
      </c>
      <c s="368" r="AG18"/>
      <c s="368" r="AH18" t="n">
        <f>SUM(AH19:AH21)</f>
        <v>0</v>
      </c>
      <c s="369" r="AI18" t="n">
        <f>IF(AH$16=0,0,-AH18/AH$16)</f>
        <v>0</v>
      </c>
      <c s="371" r="AJ18"/>
      <c s="368" r="AK18" t="n">
        <f>IF(AK$6=0,0,(V18*V$6+Y18*Y$6+AB18*AB$6+AE18*AE$6+AH18*AH$6)/AK$6)</f>
        <v>0</v>
      </c>
      <c s="372" r="AL18" t="n">
        <f>IF(AK$16=0,0,-AK18/AK$16)</f>
        <v>0</v>
      </c>
      <c s="371" r="AM18"/>
      <c s="368" r="AN18" t="n">
        <f>SUM(AN19:AN21)</f>
        <v>0</v>
      </c>
      <c s="369" r="AO18" t="n">
        <f>IF(AN$16=0,0,-AN18/AN$16)</f>
        <v>0</v>
      </c>
      <c s="368" r="AP18"/>
      <c s="368" r="AQ18" t="n">
        <f>SUM(AQ19:AQ21)</f>
        <v>0</v>
      </c>
      <c s="369" r="AR18" t="n">
        <f>IF(AQ$16=0,0,-AQ18/AQ$16)</f>
        <v>0</v>
      </c>
      <c s="370" r="AS18"/>
      <c s="368" r="AT18" t="n">
        <f>SUM(AT19:AT21)</f>
        <v>0</v>
      </c>
      <c s="369" r="AU18" t="n">
        <f>IF(AT$16=0,0,-AT18/AT$16)</f>
        <v>0</v>
      </c>
      <c s="368" r="AV18"/>
      <c s="368" r="AW18" t="n">
        <f>SUM(AW19:AW21)</f>
        <v>0</v>
      </c>
      <c s="369" r="AX18" t="n">
        <f>IF(AW$16=0,0,-AW18/AW$16)</f>
        <v>0</v>
      </c>
      <c s="368" r="AY18"/>
      <c s="368" r="AZ18" t="n">
        <f>SUM(AZ19:AZ21)</f>
        <v>0</v>
      </c>
      <c s="369" r="BA18" t="n">
        <f>IF(AZ$16=0,0,-AZ18/AZ$16)</f>
        <v>0</v>
      </c>
      <c s="371" r="BB18"/>
      <c s="368" r="BC18" t="n">
        <f>IF(BC$6=0,0,(AN18*AN$6+AQ18*AQ$6+AT18*AT$6+AW18*AW$6+AZ18*AZ$6)/BC$6)</f>
        <v>0</v>
      </c>
      <c s="372" r="BD18" t="n">
        <f>IF(BC$16=0,0,-BC18/BC$16)</f>
        <v>0</v>
      </c>
      <c s="371" r="BE18"/>
      <c s="368" r="BF18" t="n">
        <f>SUM(BF19:BF21)</f>
        <v>0</v>
      </c>
      <c s="369" r="BG18" t="n">
        <f>IF(BF$16=0,0,-BF18/BF$16)</f>
        <v>0</v>
      </c>
      <c s="368" r="BH18"/>
      <c s="368" r="BI18" t="n">
        <f>SUM(BI19:BI21)</f>
        <v>0</v>
      </c>
      <c s="369" r="BJ18" t="n">
        <f>IF(BI$16=0,0,-BI18/BI$16)</f>
        <v>0</v>
      </c>
      <c s="370" r="BK18"/>
      <c s="368" r="BL18" t="n">
        <f>SUM(BL19:BL21)</f>
        <v>0</v>
      </c>
      <c s="369" r="BM18" t="n">
        <f>IF(BL$16=0,0,-BL18/BL$16)</f>
        <v>0</v>
      </c>
      <c s="368" r="BN18"/>
      <c s="368" r="BO18" t="n">
        <f>SUM(BO19:BO21)</f>
        <v>0</v>
      </c>
      <c s="369" r="BP18" t="n">
        <f>IF(BO$16=0,0,-BO18/BO$16)</f>
        <v>0</v>
      </c>
      <c s="368" r="BQ18"/>
      <c s="368" r="BR18" t="n">
        <f>SUM(BR19:BR21)</f>
        <v>0</v>
      </c>
      <c s="369" r="BS18" t="n">
        <f>IF(BR$16=0,0,-BR18/BR$16)</f>
        <v>0</v>
      </c>
      <c s="371" r="BT18"/>
      <c s="368" r="BU18" t="n">
        <f>IF(BU$6=0,0,(BF18*BF$6+BI18*BI$6+BL18*BL$6+BO18*BO$6+BR18*BR$6)/BU$6)</f>
        <v>0</v>
      </c>
      <c s="372" r="BV18" t="n">
        <f>IF(BU$16=0,0,-BU18/BU$16)</f>
        <v>0</v>
      </c>
      <c s="373" r="BW18"/>
      <c s="368" r="BX18" t="n">
        <f>SUM(BX19:BX21)</f>
        <v>0</v>
      </c>
      <c s="369" r="BY18" t="n">
        <f>IF(BX$16=0,0,-BX18/BX$16)</f>
        <v>0</v>
      </c>
      <c s="368" r="BZ18"/>
      <c s="368" r="CA18" t="n">
        <f>SUM(CA19:CA21)</f>
        <v>0</v>
      </c>
      <c s="369" r="CB18" t="n">
        <f>IF(CA$16=0,0,-CA18/CA$16)</f>
        <v>0</v>
      </c>
      <c s="370" r="CC18"/>
      <c s="368" r="CD18" t="n">
        <f>SUM(CD19:CD21)</f>
        <v>0</v>
      </c>
      <c s="369" r="CE18" t="n">
        <f>IF(CD$16=0,0,-CD18/CD$16)</f>
        <v>0</v>
      </c>
      <c s="368" r="CF18"/>
      <c s="368" r="CG18" t="n">
        <f>SUM(CG19:CG21)</f>
        <v>0</v>
      </c>
      <c s="369" r="CH18" t="n">
        <f>IF(CG$16=0,0,-CG18/CG$16)</f>
        <v>0</v>
      </c>
      <c s="368" r="CI18"/>
      <c s="368" r="CJ18" t="n">
        <f>SUM(CJ19:CJ21)</f>
        <v>0</v>
      </c>
      <c s="369" r="CK18" t="n">
        <f>IF(CJ$16=0,0,-CJ18/CJ$16)</f>
        <v>0</v>
      </c>
      <c s="371" r="CL18"/>
      <c s="368" r="CM18" t="n">
        <f>IF(CM$6=0,0,(BX18*BX$6+CA18*CA$6+CD18*CD$6+CG18*CG$6+CJ18*CJ$6)/CM$6)</f>
        <v>0</v>
      </c>
      <c s="372" r="CN18" t="n">
        <f>IF(CM$16=0,0,-CM18/CM$16)</f>
        <v>0</v>
      </c>
      <c s="374" r="CO18"/>
      <c s="368" r="CP18" t="n">
        <f>IF(CP$6=0,0,(D18*D$6+V18*V$6+AN18*AN$6+BF18*BF$6+BX18*BX$6)/CP$6)</f>
        <v>0</v>
      </c>
      <c s="372" r="CQ18" t="n">
        <f>IF(CP$16=0,0,-CP18/CP$16)</f>
        <v>0</v>
      </c>
      <c s="368" r="CR18"/>
      <c s="368" r="CS18" t="n">
        <f>IF(CS$6=0,0,(G18*G$6+Y18*Y$6+AQ18*AQ$6+BI18*BI$6+CA18*CA$6)/CS$6)</f>
        <v>0</v>
      </c>
      <c s="372" r="CT18" t="n">
        <f>IF(CS$16=0,0,-CS18/CS$16)</f>
        <v>0</v>
      </c>
      <c s="368" r="CU18"/>
      <c s="368" r="CV18" t="n">
        <f>IF(CV$6=0,0,(J18*J$6+AB18*AB$6+AT18*AT$6+BL18*BL$6+CD18*CD$6)/CV$6)</f>
        <v>0</v>
      </c>
      <c s="372" r="CW18" t="n">
        <f>IF(CV$16=0,0,-CV18/CV$16)</f>
        <v>0</v>
      </c>
      <c s="368" r="CX18"/>
      <c s="368" r="CY18" t="n">
        <f>IF(CY$6=0,0,(M18*M$6+AE18*AE$6+AW18*AW$6+BO18*BO$6+CG18*CG$6)/CY$6)</f>
        <v>0</v>
      </c>
      <c s="372" r="CZ18" t="n">
        <f>IF(CY$16=0,0,-CY18/CY$16)</f>
        <v>0</v>
      </c>
      <c s="368" r="DA18"/>
      <c s="368" r="DB18" t="n">
        <f>IF(DB$6=0,0,(P18*P$6+AH18*AH$6+AZ18*AZ$6+BR18*BR$6+CJ18*CJ$6)/DB$6)</f>
        <v>0</v>
      </c>
      <c s="372" r="DC18" t="n">
        <f>IF(DB$16=0,0,-DB18/DB$16)</f>
        <v>0</v>
      </c>
      <c s="368" r="DD18"/>
      <c s="368" r="DE18" t="n">
        <f>IF(DE$6=0,0,(S18*S$6+AK18*AK$6+BC18*BC$6+BU18*BU$6+CM18*CM$6)/DE$6)</f>
        <v>0</v>
      </c>
      <c s="372" r="DF18" t="n">
        <f>IF(DE$16=0,0,-DE18/DE$16)</f>
        <v>0</v>
      </c>
      <c s="375" r="DG18"/>
    </row>
    <row r="19" spans="1:111" ht="16.05" customHeight="1" outlineLevel="1">
      <c s="321" r="A19"/>
      <c s="376" r="B19" t="str">
        <v>        - BOM成本</v>
      </c>
      <c s="336" r="C19"/>
      <c s="377" r="D19"/>
      <c s="378" r="E19" t="n">
        <f>IF(D$16=0,0,-D19/D$16)</f>
        <v>0</v>
      </c>
      <c s="339" r="F19"/>
      <c s="377" r="G19"/>
      <c s="378" r="H19" t="n">
        <f>IF(G$16=0,0,-G19/G$16)</f>
        <v>0</v>
      </c>
      <c s="339" r="I19"/>
      <c s="377" r="J19"/>
      <c s="378" r="K19" t="n">
        <f>IF(J$16=0,0,-J19/J$16)</f>
        <v>0</v>
      </c>
      <c s="339" r="L19"/>
      <c s="377" r="M19"/>
      <c s="378" r="N19" t="n">
        <f>IF(M$16=0,0,-M19/M$16)</f>
        <v>0</v>
      </c>
      <c s="339" r="O19"/>
      <c s="377" r="P19"/>
      <c s="378" r="Q19" t="n">
        <f>IF(P$16=0,0,-P19/P$16)</f>
        <v>0</v>
      </c>
      <c s="321" r="R19"/>
      <c s="379" r="S19" t="n">
        <f>IF(S$6=0,0,(D19*D$6+G19*G$6+J19*J$6+M19*M$6+P19*P$6)/S$6)</f>
        <v>0</v>
      </c>
      <c s="378" r="T19" t="n">
        <f>IF(S$16=0,0,-S19/S$16)</f>
        <v>0</v>
      </c>
      <c s="324" r="U19"/>
      <c s="377" r="V19"/>
      <c s="378" r="W19" t="n">
        <f>IF(V$16=0,0,-V19/V$16)</f>
        <v>0</v>
      </c>
      <c s="339" r="X19"/>
      <c s="377" r="Y19"/>
      <c s="378" r="Z19" t="n">
        <f>IF(Y$16=0,0,-Y19/Y$16)</f>
        <v>0</v>
      </c>
      <c s="339" r="AA19"/>
      <c s="377" r="AB19"/>
      <c s="378" r="AC19" t="n">
        <f>IF(AB$16=0,0,-AB19/AB$16)</f>
        <v>0</v>
      </c>
      <c s="339" r="AD19"/>
      <c s="377" r="AE19"/>
      <c s="378" r="AF19" t="n">
        <f>IF(AE$16=0,0,-AE19/AE$16)</f>
        <v>0</v>
      </c>
      <c s="339" r="AG19"/>
      <c s="377" r="AH19"/>
      <c s="378" r="AI19" t="n">
        <f>IF(AH$16=0,0,-AH19/AH$16)</f>
        <v>0</v>
      </c>
      <c s="321" r="AJ19"/>
      <c s="379" r="AK19" t="n">
        <f>IF(AK$6=0,0,(V19*V$6+Y19*Y$6+AB19*AB$6+AE19*AE$6+AH19*AH$6)/AK$6)</f>
        <v>0</v>
      </c>
      <c s="378" r="AL19" t="n">
        <f>IF(AK$16=0,0,-AK19/AK$16)</f>
        <v>0</v>
      </c>
      <c s="324" r="AM19"/>
      <c s="377" r="AN19"/>
      <c s="378" r="AO19" t="n">
        <f>IF(AN$16=0,0,-AN19/AN$16)</f>
        <v>0</v>
      </c>
      <c s="339" r="AP19"/>
      <c s="377" r="AQ19"/>
      <c s="378" r="AR19" t="n">
        <f>IF(AQ$16=0,0,-AQ19/AQ$16)</f>
        <v>0</v>
      </c>
      <c s="339" r="AS19"/>
      <c s="377" r="AT19"/>
      <c s="378" r="AU19" t="n">
        <f>IF(AT$16=0,0,-AT19/AT$16)</f>
        <v>0</v>
      </c>
      <c s="339" r="AV19"/>
      <c s="377" r="AW19"/>
      <c s="378" r="AX19" t="n">
        <f>IF(AW$16=0,0,-AW19/AW$16)</f>
        <v>0</v>
      </c>
      <c s="339" r="AY19"/>
      <c s="377" r="AZ19"/>
      <c s="378" r="BA19" t="n">
        <f>IF(AZ$16=0,0,-AZ19/AZ$16)</f>
        <v>0</v>
      </c>
      <c s="321" r="BB19"/>
      <c s="379" r="BC19" t="n">
        <f>IF(BC$6=0,0,(AN19*AN$6+AQ19*AQ$6+AT19*AT$6+AW19*AW$6+AZ19*AZ$6)/BC$6)</f>
        <v>0</v>
      </c>
      <c s="378" r="BD19" t="n">
        <f>IF(BC$16=0,0,-BC19/BC$16)</f>
        <v>0</v>
      </c>
      <c s="324" r="BE19"/>
      <c s="377" r="BF19"/>
      <c s="378" r="BG19" t="n">
        <f>IF(BF$16=0,0,-BF19/BF$16)</f>
        <v>0</v>
      </c>
      <c s="339" r="BH19"/>
      <c s="377" r="BI19"/>
      <c s="378" r="BJ19" t="n">
        <f>IF(BI$16=0,0,-BI19/BI$16)</f>
        <v>0</v>
      </c>
      <c s="339" r="BK19"/>
      <c s="377" r="BL19"/>
      <c s="378" r="BM19" t="n">
        <f>IF(BL$16=0,0,-BL19/BL$16)</f>
        <v>0</v>
      </c>
      <c s="339" r="BN19"/>
      <c s="377" r="BO19"/>
      <c s="378" r="BP19" t="n">
        <f>IF(BO$16=0,0,-BO19/BO$16)</f>
        <v>0</v>
      </c>
      <c s="339" r="BQ19"/>
      <c s="377" r="BR19"/>
      <c s="378" r="BS19" t="n">
        <f>IF(BR$16=0,0,-BR19/BR$16)</f>
        <v>0</v>
      </c>
      <c s="321" r="BT19"/>
      <c s="379" r="BU19" t="n">
        <f>IF(BU$6=0,0,(BF19*BF$6+BI19*BI$6+BL19*BL$6+BO19*BO$6+BR19*BR$6)/BU$6)</f>
        <v>0</v>
      </c>
      <c s="378" r="BV19" t="n">
        <f>IF(BU$16=0,0,-BU19/BU$16)</f>
        <v>0</v>
      </c>
      <c s="324" r="BW19"/>
      <c s="377" r="BX19"/>
      <c s="378" r="BY19" t="n">
        <f>IF(BX$16=0,0,-BX19/BX$16)</f>
        <v>0</v>
      </c>
      <c s="339" r="BZ19"/>
      <c s="377" r="CA19"/>
      <c s="378" r="CB19" t="n">
        <f>IF(CA$16=0,0,-CA19/CA$16)</f>
        <v>0</v>
      </c>
      <c s="339" r="CC19"/>
      <c s="377" r="CD19"/>
      <c s="378" r="CE19" t="n">
        <f>IF(CD$16=0,0,-CD19/CD$16)</f>
        <v>0</v>
      </c>
      <c s="339" r="CF19"/>
      <c s="377" r="CG19"/>
      <c s="378" r="CH19" t="n">
        <f>IF(CG$16=0,0,-CG19/CG$16)</f>
        <v>0</v>
      </c>
      <c s="339" r="CI19"/>
      <c s="377" r="CJ19"/>
      <c s="378" r="CK19" t="n">
        <f>IF(CJ$16=0,0,-CJ19/CJ$16)</f>
        <v>0</v>
      </c>
      <c s="321" r="CL19"/>
      <c s="379" r="CM19" t="n">
        <f>IF(CM$6=0,0,(BX19*BX$6+CA19*CA$6+CD19*CD$6+CG19*CG$6+CJ19*CJ$6)/CM$6)</f>
        <v>0</v>
      </c>
      <c s="378" r="CN19" t="n">
        <f>IF(CM$16=0,0,-CM19/CM$16)</f>
        <v>0</v>
      </c>
      <c s="325" r="CO19"/>
      <c s="379" r="CP19" t="n">
        <f>IF(CP$6=0,0,(D19*D$6+V19*V$6+AN19*AN$6+BF19*BF$6+BX19*BX$6)/CP$6)</f>
        <v>0</v>
      </c>
      <c s="378" r="CQ19" t="n">
        <f>IF(CP$16=0,0,-CP19/CP$16)</f>
        <v>0</v>
      </c>
      <c s="339" r="CR19"/>
      <c s="379" r="CS19" t="n">
        <f>IF(CS$6=0,0,(G19*G$6+Y19*Y$6+AQ19*AQ$6+BI19*BI$6+CA19*CA$6)/CS$6)</f>
        <v>0</v>
      </c>
      <c s="378" r="CT19" t="n">
        <f>IF(CS$16=0,0,-CS19/CS$16)</f>
        <v>0</v>
      </c>
      <c s="339" r="CU19"/>
      <c s="379" r="CV19" t="n">
        <f>IF(CV$6=0,0,(J19*J$6+AB19*AB$6+AT19*AT$6+BL19*BL$6+CD19*CD$6)/CV$6)</f>
        <v>0</v>
      </c>
      <c s="378" r="CW19" t="n">
        <f>IF(CV$16=0,0,-CV19/CV$16)</f>
        <v>0</v>
      </c>
      <c s="339" r="CX19"/>
      <c s="379" r="CY19" t="n">
        <f>IF(CY$6=0,0,(M19*M$6+AE19*AE$6+AW19*AW$6+BO19*BO$6+CG19*CG$6)/CY$6)</f>
        <v>0</v>
      </c>
      <c s="378" r="CZ19" t="n">
        <f>IF(CY$16=0,0,-CY19/CY$16)</f>
        <v>0</v>
      </c>
      <c s="339" r="DA19"/>
      <c s="379" r="DB19" t="n">
        <f>IF(DB$6=0,0,(P19*P$6+AH19*AH$6+AZ19*AZ$6+BR19*BR$6+CJ19*CJ$6)/DB$6)</f>
        <v>0</v>
      </c>
      <c s="378" r="DC19" t="n">
        <f>IF(DB$16=0,0,-DB19/DB$16)</f>
        <v>0</v>
      </c>
      <c s="339" r="DD19"/>
      <c s="379" r="DE19" t="n">
        <f>IF(DE$6=0,0,(S19*S$6+AK19*AK$6+BC19*BC$6+BU19*BU$6+CM19*CM$6)/DE$6)</f>
        <v>0</v>
      </c>
      <c s="378" r="DF19" t="n">
        <f>IF(DE$16=0,0,-DE19/DE$16)</f>
        <v>0</v>
      </c>
      <c s="380" r="DG19"/>
    </row>
    <row r="20" spans="1:111" ht="16.05" customHeight="1" outlineLevel="1">
      <c s="321" r="A20"/>
      <c s="376" r="B20" t="str">
        <v>        - BOM成本（赠送配置）</v>
      </c>
      <c s="336" r="C20"/>
      <c s="377" r="D20"/>
      <c s="378" r="E20" t="n">
        <f>IF(D$16=0,0,-D20/D$16)</f>
        <v>0</v>
      </c>
      <c s="339" r="F20"/>
      <c s="377" r="G20"/>
      <c s="378" r="H20" t="n">
        <f>IF(G$16=0,0,-G20/G$16)</f>
        <v>0</v>
      </c>
      <c s="339" r="I20"/>
      <c s="377" r="J20"/>
      <c s="378" r="K20" t="n">
        <f>IF(J$16=0,0,-J20/J$16)</f>
        <v>0</v>
      </c>
      <c s="339" r="L20"/>
      <c s="377" r="M20"/>
      <c s="378" r="N20" t="n">
        <f>IF(M$16=0,0,-M20/M$16)</f>
        <v>0</v>
      </c>
      <c s="339" r="O20"/>
      <c s="377" r="P20"/>
      <c s="378" r="Q20" t="n">
        <f>IF(P$16=0,0,-P20/P$16)</f>
        <v>0</v>
      </c>
      <c s="321" r="R20"/>
      <c s="379" r="S20" t="n">
        <f>IF(S$6=0,0,(D20*D$6+G20*G$6+J20*J$6+M20*M$6+P20*P$6)/S$6)</f>
        <v>0</v>
      </c>
      <c s="378" r="T20" t="n">
        <f>IF(S$16=0,0,-S20/S$16)</f>
        <v>0</v>
      </c>
      <c s="324" r="U20"/>
      <c s="377" r="V20"/>
      <c s="378" r="W20" t="n">
        <f>IF(V$16=0,0,-V20/V$16)</f>
        <v>0</v>
      </c>
      <c s="339" r="X20"/>
      <c s="377" r="Y20"/>
      <c s="378" r="Z20" t="n">
        <f>IF(Y$16=0,0,-Y20/Y$16)</f>
        <v>0</v>
      </c>
      <c s="339" r="AA20"/>
      <c s="377" r="AB20"/>
      <c s="378" r="AC20" t="n">
        <f>IF(AB$16=0,0,-AB20/AB$16)</f>
        <v>0</v>
      </c>
      <c s="339" r="AD20"/>
      <c s="377" r="AE20"/>
      <c s="378" r="AF20" t="n">
        <f>IF(AE$16=0,0,-AE20/AE$16)</f>
        <v>0</v>
      </c>
      <c s="339" r="AG20"/>
      <c s="377" r="AH20"/>
      <c s="378" r="AI20" t="n">
        <f>IF(AH$16=0,0,-AH20/AH$16)</f>
        <v>0</v>
      </c>
      <c s="321" r="AJ20"/>
      <c s="379" r="AK20" t="n">
        <f>IF(AK$6=0,0,(V20*V$6+Y20*Y$6+AB20*AB$6+AE20*AE$6+AH20*AH$6)/AK$6)</f>
        <v>0</v>
      </c>
      <c s="378" r="AL20" t="n">
        <f>IF(AK$16=0,0,-AK20/AK$16)</f>
        <v>0</v>
      </c>
      <c s="324" r="AM20"/>
      <c s="377" r="AN20"/>
      <c s="378" r="AO20" t="n">
        <f>IF(AN$16=0,0,-AN20/AN$16)</f>
        <v>0</v>
      </c>
      <c s="339" r="AP20"/>
      <c s="377" r="AQ20"/>
      <c s="378" r="AR20" t="n">
        <f>IF(AQ$16=0,0,-AQ20/AQ$16)</f>
        <v>0</v>
      </c>
      <c s="339" r="AS20"/>
      <c s="377" r="AT20"/>
      <c s="378" r="AU20" t="n">
        <f>IF(AT$16=0,0,-AT20/AT$16)</f>
        <v>0</v>
      </c>
      <c s="339" r="AV20"/>
      <c s="377" r="AW20"/>
      <c s="378" r="AX20" t="n">
        <f>IF(AW$16=0,0,-AW20/AW$16)</f>
        <v>0</v>
      </c>
      <c s="339" r="AY20"/>
      <c s="377" r="AZ20"/>
      <c s="378" r="BA20" t="n">
        <f>IF(AZ$16=0,0,-AZ20/AZ$16)</f>
        <v>0</v>
      </c>
      <c s="321" r="BB20"/>
      <c s="379" r="BC20" t="n">
        <f>IF(BC$6=0,0,(AN20*AN$6+AQ20*AQ$6+AT20*AT$6+AW20*AW$6+AZ20*AZ$6)/BC$6)</f>
        <v>0</v>
      </c>
      <c s="378" r="BD20" t="n">
        <f>IF(BC$16=0,0,-BC20/BC$16)</f>
        <v>0</v>
      </c>
      <c s="324" r="BE20"/>
      <c s="377" r="BF20"/>
      <c s="378" r="BG20" t="n">
        <f>IF(BF$16=0,0,-BF20/BF$16)</f>
        <v>0</v>
      </c>
      <c s="339" r="BH20"/>
      <c s="377" r="BI20"/>
      <c s="378" r="BJ20" t="n">
        <f>IF(BI$16=0,0,-BI20/BI$16)</f>
        <v>0</v>
      </c>
      <c s="339" r="BK20"/>
      <c s="377" r="BL20"/>
      <c s="378" r="BM20" t="n">
        <f>IF(BL$16=0,0,-BL20/BL$16)</f>
        <v>0</v>
      </c>
      <c s="339" r="BN20"/>
      <c s="377" r="BO20"/>
      <c s="378" r="BP20" t="n">
        <f>IF(BO$16=0,0,-BO20/BO$16)</f>
        <v>0</v>
      </c>
      <c s="339" r="BQ20"/>
      <c s="377" r="BR20"/>
      <c s="378" r="BS20" t="n">
        <f>IF(BR$16=0,0,-BR20/BR$16)</f>
        <v>0</v>
      </c>
      <c s="321" r="BT20"/>
      <c s="379" r="BU20" t="n">
        <f>IF(BU$6=0,0,(BF20*BF$6+BI20*BI$6+BL20*BL$6+BO20*BO$6+BR20*BR$6)/BU$6)</f>
        <v>0</v>
      </c>
      <c s="378" r="BV20" t="n">
        <f>IF(BU$16=0,0,-BU20/BU$16)</f>
        <v>0</v>
      </c>
      <c s="324" r="BW20"/>
      <c s="377" r="BX20"/>
      <c s="378" r="BY20" t="n">
        <f>IF(BX$16=0,0,-BX20/BX$16)</f>
        <v>0</v>
      </c>
      <c s="339" r="BZ20"/>
      <c s="377" r="CA20"/>
      <c s="378" r="CB20" t="n">
        <f>IF(CA$16=0,0,-CA20/CA$16)</f>
        <v>0</v>
      </c>
      <c s="339" r="CC20"/>
      <c s="377" r="CD20"/>
      <c s="378" r="CE20" t="n">
        <f>IF(CD$16=0,0,-CD20/CD$16)</f>
        <v>0</v>
      </c>
      <c s="339" r="CF20"/>
      <c s="377" r="CG20"/>
      <c s="378" r="CH20" t="n">
        <f>IF(CG$16=0,0,-CG20/CG$16)</f>
        <v>0</v>
      </c>
      <c s="339" r="CI20"/>
      <c s="377" r="CJ20"/>
      <c s="378" r="CK20" t="n">
        <f>IF(CJ$16=0,0,-CJ20/CJ$16)</f>
        <v>0</v>
      </c>
      <c s="321" r="CL20"/>
      <c s="379" r="CM20" t="n">
        <f>IF(CM$6=0,0,(BX20*BX$6+CA20*CA$6+CD20*CD$6+CG20*CG$6+CJ20*CJ$6)/CM$6)</f>
        <v>0</v>
      </c>
      <c s="378" r="CN20" t="n">
        <f>IF(CM$16=0,0,-CM20/CM$16)</f>
        <v>0</v>
      </c>
      <c s="325" r="CO20"/>
      <c s="379" r="CP20" t="n">
        <f>IF(CP$6=0,0,(D20*D$6+V20*V$6+AN20*AN$6+BF20*BF$6+BX20*BX$6)/CP$6)</f>
        <v>0</v>
      </c>
      <c s="378" r="CQ20" t="n">
        <f>IF(CP$16=0,0,-CP20/CP$16)</f>
        <v>0</v>
      </c>
      <c s="339" r="CR20"/>
      <c s="379" r="CS20" t="n">
        <f>IF(CS$6=0,0,(G20*G$6+Y20*Y$6+AQ20*AQ$6+BI20*BI$6+CA20*CA$6)/CS$6)</f>
        <v>0</v>
      </c>
      <c s="378" r="CT20" t="n">
        <f>IF(CS$16=0,0,-CS20/CS$16)</f>
        <v>0</v>
      </c>
      <c s="339" r="CU20"/>
      <c s="379" r="CV20" t="n">
        <f>IF(CV$6=0,0,(J20*J$6+AB20*AB$6+AT20*AT$6+BL20*BL$6+CD20*CD$6)/CV$6)</f>
        <v>0</v>
      </c>
      <c s="378" r="CW20" t="n">
        <f>IF(CV$16=0,0,-CV20/CV$16)</f>
        <v>0</v>
      </c>
      <c s="339" r="CX20"/>
      <c s="379" r="CY20" t="n">
        <f>IF(CY$6=0,0,(M20*M$6+AE20*AE$6+AW20*AW$6+BO20*BO$6+CG20*CG$6)/CY$6)</f>
        <v>0</v>
      </c>
      <c s="378" r="CZ20" t="n">
        <f>IF(CY$16=0,0,-CY20/CY$16)</f>
        <v>0</v>
      </c>
      <c s="339" r="DA20"/>
      <c s="379" r="DB20" t="n">
        <f>IF(DB$6=0,0,(P20*P$6+AH20*AH$6+AZ20*AZ$6+BR20*BR$6+CJ20*CJ$6)/DB$6)</f>
        <v>0</v>
      </c>
      <c s="378" r="DC20" t="n">
        <f>IF(DB$16=0,0,-DB20/DB$16)</f>
        <v>0</v>
      </c>
      <c s="339" r="DD20"/>
      <c s="379" r="DE20" t="n">
        <f>IF(DE$6=0,0,(S20*S$6+AK20*AK$6+BC20*BC$6+BU20*BU$6+CM20*CM$6)/DE$6)</f>
        <v>0</v>
      </c>
      <c s="378" r="DF20" t="n">
        <f>IF(DE$16=0,0,-DE20/DE$16)</f>
        <v>0</v>
      </c>
      <c s="380" r="DG20"/>
    </row>
    <row r="21" spans="1:111" ht="16.05" customHeight="1" outlineLevel="1">
      <c s="321" r="A21"/>
      <c s="381" r="B21" t="str">
        <v>        - 供应商模具转固分摊成本</v>
      </c>
      <c s="336" r="C21"/>
      <c s="382" r="D21"/>
      <c s="378" r="E21" t="n">
        <f>IF(D$16=0,0,-D21/D$16)</f>
        <v>0</v>
      </c>
      <c s="379" r="F21"/>
      <c s="382" r="G21"/>
      <c s="378" r="H21" t="n">
        <f>IF(G$16=0,0,-G21/G$16)</f>
        <v>0</v>
      </c>
      <c s="379" r="I21"/>
      <c s="382" r="J21"/>
      <c s="378" r="K21" t="n">
        <f>IF(J$16=0,0,-J21/J$16)</f>
        <v>0</v>
      </c>
      <c s="379" r="L21"/>
      <c s="382" r="M21"/>
      <c s="378" r="N21" t="n">
        <f>IF(M$16=0,0,-M21/M$16)</f>
        <v>0</v>
      </c>
      <c s="379" r="O21"/>
      <c s="382" r="P21"/>
      <c s="378" r="Q21" t="n">
        <f>IF(P$16=0,0,-P21/P$16)</f>
        <v>0</v>
      </c>
      <c s="383" r="R21"/>
      <c s="379" r="S21" t="n">
        <f>IF(S$6=0,0,(D21*D$6+G21*G$6+J21*J$6+M21*M$6+P21*P$6)/S$6)</f>
        <v>0</v>
      </c>
      <c s="378" r="T21" t="n">
        <f>IF(S$16=0,0,-S21/S$16)</f>
        <v>0</v>
      </c>
      <c s="384" r="U21"/>
      <c s="382" r="V21"/>
      <c s="378" r="W21" t="n">
        <f>IF(V$16=0,0,-V21/V$16)</f>
        <v>0</v>
      </c>
      <c s="379" r="X21"/>
      <c s="382" r="Y21"/>
      <c s="378" r="Z21" t="n">
        <f>IF(Y$16=0,0,-Y21/Y$16)</f>
        <v>0</v>
      </c>
      <c s="379" r="AA21"/>
      <c s="382" r="AB21"/>
      <c s="378" r="AC21" t="n">
        <f>IF(AB$16=0,0,-AB21/AB$16)</f>
        <v>0</v>
      </c>
      <c s="379" r="AD21"/>
      <c s="382" r="AE21"/>
      <c s="378" r="AF21" t="n">
        <f>IF(AE$16=0,0,-AE21/AE$16)</f>
        <v>0</v>
      </c>
      <c s="379" r="AG21"/>
      <c s="382" r="AH21"/>
      <c s="378" r="AI21" t="n">
        <f>IF(AH$16=0,0,-AH21/AH$16)</f>
        <v>0</v>
      </c>
      <c s="383" r="AJ21"/>
      <c s="379" r="AK21" t="n">
        <f>IF(AK$6=0,0,(V21*V$6+Y21*Y$6+AB21*AB$6+AE21*AE$6+AH21*AH$6)/AK$6)</f>
        <v>0</v>
      </c>
      <c s="378" r="AL21" t="n">
        <f>IF(AK$16=0,0,-AK21/AK$16)</f>
        <v>0</v>
      </c>
      <c s="384" r="AM21"/>
      <c s="382" r="AN21"/>
      <c s="378" r="AO21" t="n">
        <f>IF(AN$16=0,0,-AN21/AN$16)</f>
        <v>0</v>
      </c>
      <c s="379" r="AP21"/>
      <c s="382" r="AQ21"/>
      <c s="378" r="AR21" t="n">
        <f>IF(AQ$16=0,0,-AQ21/AQ$16)</f>
        <v>0</v>
      </c>
      <c s="379" r="AS21"/>
      <c s="382" r="AT21"/>
      <c s="378" r="AU21" t="n">
        <f>IF(AT$16=0,0,-AT21/AT$16)</f>
        <v>0</v>
      </c>
      <c s="379" r="AV21"/>
      <c s="382" r="AW21"/>
      <c s="378" r="AX21" t="n">
        <f>IF(AW$16=0,0,-AW21/AW$16)</f>
        <v>0</v>
      </c>
      <c s="379" r="AY21"/>
      <c s="382" r="AZ21"/>
      <c s="378" r="BA21" t="n">
        <f>IF(AZ$16=0,0,-AZ21/AZ$16)</f>
        <v>0</v>
      </c>
      <c s="383" r="BB21"/>
      <c s="379" r="BC21" t="n">
        <f>IF(BC$6=0,0,(AN21*AN$6+AQ21*AQ$6+AT21*AT$6+AW21*AW$6+AZ21*AZ$6)/BC$6)</f>
        <v>0</v>
      </c>
      <c s="378" r="BD21" t="n">
        <f>IF(BC$16=0,0,-BC21/BC$16)</f>
        <v>0</v>
      </c>
      <c s="384" r="BE21"/>
      <c s="382" r="BF21"/>
      <c s="378" r="BG21" t="n">
        <f>IF(BF$16=0,0,-BF21/BF$16)</f>
        <v>0</v>
      </c>
      <c s="379" r="BH21"/>
      <c s="382" r="BI21"/>
      <c s="378" r="BJ21" t="n">
        <f>IF(BI$16=0,0,-BI21/BI$16)</f>
        <v>0</v>
      </c>
      <c s="379" r="BK21"/>
      <c s="382" r="BL21"/>
      <c s="378" r="BM21" t="n">
        <f>IF(BL$16=0,0,-BL21/BL$16)</f>
        <v>0</v>
      </c>
      <c s="379" r="BN21"/>
      <c s="382" r="BO21"/>
      <c s="378" r="BP21" t="n">
        <f>IF(BO$16=0,0,-BO21/BO$16)</f>
        <v>0</v>
      </c>
      <c s="379" r="BQ21"/>
      <c s="382" r="BR21"/>
      <c s="378" r="BS21" t="n">
        <f>IF(BR$16=0,0,-BR21/BR$16)</f>
        <v>0</v>
      </c>
      <c s="383" r="BT21"/>
      <c s="379" r="BU21" t="n">
        <f>IF(BU$6=0,0,(BF21*BF$6+BI21*BI$6+BL21*BL$6+BO21*BO$6+BR21*BR$6)/BU$6)</f>
        <v>0</v>
      </c>
      <c s="378" r="BV21" t="n">
        <f>IF(BU$16=0,0,-BU21/BU$16)</f>
        <v>0</v>
      </c>
      <c s="384" r="BW21"/>
      <c s="382" r="BX21"/>
      <c s="378" r="BY21" t="n">
        <f>IF(BX$16=0,0,-BX21/BX$16)</f>
        <v>0</v>
      </c>
      <c s="379" r="BZ21"/>
      <c s="382" r="CA21"/>
      <c s="378" r="CB21" t="n">
        <f>IF(CA$16=0,0,-CA21/CA$16)</f>
        <v>0</v>
      </c>
      <c s="379" r="CC21"/>
      <c s="382" r="CD21"/>
      <c s="378" r="CE21" t="n">
        <f>IF(CD$16=0,0,-CD21/CD$16)</f>
        <v>0</v>
      </c>
      <c s="379" r="CF21"/>
      <c s="382" r="CG21"/>
      <c s="378" r="CH21" t="n">
        <f>IF(CG$16=0,0,-CG21/CG$16)</f>
        <v>0</v>
      </c>
      <c s="379" r="CI21"/>
      <c s="382" r="CJ21"/>
      <c s="378" r="CK21" t="n">
        <f>IF(CJ$16=0,0,-CJ21/CJ$16)</f>
        <v>0</v>
      </c>
      <c s="383" r="CL21"/>
      <c s="379" r="CM21" t="n">
        <f>IF(CM$6=0,0,(BX21*BX$6+CA21*CA$6+CD21*CD$6+CG21*CG$6+CJ21*CJ$6)/CM$6)</f>
        <v>0</v>
      </c>
      <c s="378" r="CN21" t="n">
        <f>IF(CM$16=0,0,-CM21/CM$16)</f>
        <v>0</v>
      </c>
      <c s="385" r="CO21"/>
      <c s="379" r="CP21" t="n">
        <f>IF(CP$6=0,0,(D21*D$6+V21*V$6+AN21*AN$6+BF21*BF$6+BX21*BX$6)/CP$6)</f>
        <v>0</v>
      </c>
      <c s="378" r="CQ21" t="n">
        <f>IF(CP$16=0,0,-CP21/CP$16)</f>
        <v>0</v>
      </c>
      <c s="379" r="CR21"/>
      <c s="379" r="CS21" t="n">
        <f>IF(CS$6=0,0,(G21*G$6+Y21*Y$6+AQ21*AQ$6+BI21*BI$6+CA21*CA$6)/CS$6)</f>
        <v>0</v>
      </c>
      <c s="378" r="CT21" t="n">
        <f>IF(CS$16=0,0,-CS21/CS$16)</f>
        <v>0</v>
      </c>
      <c s="379" r="CU21"/>
      <c s="379" r="CV21" t="n">
        <f>IF(CV$6=0,0,(J21*J$6+AB21*AB$6+AT21*AT$6+BL21*BL$6+CD21*CD$6)/CV$6)</f>
        <v>0</v>
      </c>
      <c s="378" r="CW21" t="n">
        <f>IF(CV$16=0,0,-CV21/CV$16)</f>
        <v>0</v>
      </c>
      <c s="379" r="CX21"/>
      <c s="379" r="CY21" t="n">
        <f>IF(CY$6=0,0,(M21*M$6+AE21*AE$6+AW21*AW$6+BO21*BO$6+CG21*CG$6)/CY$6)</f>
        <v>0</v>
      </c>
      <c s="378" r="CZ21" t="n">
        <f>IF(CY$16=0,0,-CY21/CY$16)</f>
        <v>0</v>
      </c>
      <c s="379" r="DA21"/>
      <c s="379" r="DB21" t="n">
        <f>IF(DB$6=0,0,(P21*P$6+AH21*AH$6+AZ21*AZ$6+BR21*BR$6+CJ21*CJ$6)/DB$6)</f>
        <v>0</v>
      </c>
      <c s="378" r="DC21" t="n">
        <f>IF(DB$16=0,0,-DB21/DB$16)</f>
        <v>0</v>
      </c>
      <c s="379" r="DD21"/>
      <c s="379" r="DE21" t="n">
        <f>IF(DE$6=0,0,(S21*S$6+AK21*AK$6+BC21*BC$6+BU21*BU$6+CM21*CM$6)/DE$6)</f>
        <v>0</v>
      </c>
      <c s="378" r="DF21" t="n">
        <f>IF(DE$16=0,0,-DE21/DE$16)</f>
        <v>0</v>
      </c>
      <c s="386" r="DG21"/>
    </row>
    <row r="22" spans="1:111" collapsed="1">
      <c s="321" r="A22"/>
      <c s="389" r="B22" t="str">
        <v>      税金</v>
      </c>
      <c s="336" r="C22"/>
      <c s="339" r="D22" t="n">
        <f>SUM(D23:D25)</f>
        <v>0</v>
      </c>
      <c s="342" r="E22" t="n">
        <f>IF(D$16=0,0,-D22/D$16)</f>
        <v>0</v>
      </c>
      <c s="339" r="F22"/>
      <c s="339" r="G22" t="n">
        <f>SUM(G23:G25)</f>
        <v>0</v>
      </c>
      <c s="342" r="H22" t="n">
        <f>IF(G$16=0,0,-G22/G$16)</f>
        <v>0</v>
      </c>
      <c s="339" r="I22"/>
      <c s="339" r="J22" t="n">
        <f>SUM(J23:J25)</f>
        <v>0</v>
      </c>
      <c s="342" r="K22" t="n">
        <f>IF(J$16=0,0,-J22/J$16)</f>
        <v>0</v>
      </c>
      <c s="339" r="L22"/>
      <c s="339" r="M22" t="n">
        <f>SUM(M23:M25)</f>
        <v>0</v>
      </c>
      <c s="342" r="N22" t="n">
        <f>IF(M$16=0,0,-M22/M$16)</f>
        <v>0</v>
      </c>
      <c s="339" r="O22"/>
      <c s="339" r="P22" t="n">
        <f>SUM(P23:P25)</f>
        <v>0</v>
      </c>
      <c s="342" r="Q22" t="n">
        <f>IF(P$16=0,0,-P22/P$16)</f>
        <v>0</v>
      </c>
      <c s="321" r="R22"/>
      <c s="339" r="S22" t="n">
        <f>IF(S$6=0,0,(D22*D$6+G22*G$6+J22*J$6+M22*M$6+P22*P$6)/S$6)</f>
        <v>0</v>
      </c>
      <c s="361" r="T22" t="n">
        <f>IF(S$16=0,0,-S22/S$16)</f>
        <v>0</v>
      </c>
      <c s="324" r="U22"/>
      <c s="339" r="V22" t="n">
        <f>SUM(V23:V25)</f>
        <v>0</v>
      </c>
      <c s="342" r="W22" t="n">
        <f>IF(V$16=0,0,-V22/V$16)</f>
        <v>0</v>
      </c>
      <c s="339" r="X22"/>
      <c s="339" r="Y22" t="n">
        <f>SUM(Y23:Y25)</f>
        <v>0</v>
      </c>
      <c s="342" r="Z22" t="n">
        <f>IF(Y$16=0,0,-Y22/Y$16)</f>
        <v>0</v>
      </c>
      <c s="339" r="AA22"/>
      <c s="339" r="AB22" t="n">
        <f>SUM(AB23:AB25)</f>
        <v>0</v>
      </c>
      <c s="342" r="AC22" t="n">
        <f>IF(AB$16=0,0,-AB22/AB$16)</f>
        <v>0</v>
      </c>
      <c s="339" r="AD22"/>
      <c s="339" r="AE22" t="n">
        <f>SUM(AE23:AE25)</f>
        <v>0</v>
      </c>
      <c s="342" r="AF22" t="n">
        <f>IF(AE$16=0,0,-AE22/AE$16)</f>
        <v>0</v>
      </c>
      <c s="339" r="AG22"/>
      <c s="339" r="AH22" t="n">
        <f>SUM(AH23:AH25)</f>
        <v>0</v>
      </c>
      <c s="342" r="AI22" t="n">
        <f>IF(AH$16=0,0,-AH22/AH$16)</f>
        <v>0</v>
      </c>
      <c s="321" r="AJ22"/>
      <c s="339" r="AK22" t="n">
        <f>IF(AK$6=0,0,(V22*V$6+Y22*Y$6+AB22*AB$6+AE22*AE$6+AH22*AH$6)/AK$6)</f>
        <v>0</v>
      </c>
      <c s="361" r="AL22" t="n">
        <f>IF(AK$16=0,0,-AK22/AK$16)</f>
        <v>0</v>
      </c>
      <c s="324" r="AM22"/>
      <c s="339" r="AN22" t="n">
        <f>SUM(AN23:AN25)</f>
        <v>0</v>
      </c>
      <c s="342" r="AO22" t="n">
        <f>IF(AN$16=0,0,-AN22/AN$16)</f>
        <v>0</v>
      </c>
      <c s="339" r="AP22"/>
      <c s="339" r="AQ22" t="n">
        <f>SUM(AQ23:AQ25)</f>
        <v>0</v>
      </c>
      <c s="342" r="AR22" t="n">
        <f>IF(AQ$16=0,0,-AQ22/AQ$16)</f>
        <v>0</v>
      </c>
      <c s="339" r="AS22"/>
      <c s="339" r="AT22" t="n">
        <f>SUM(AT23:AT25)</f>
        <v>0</v>
      </c>
      <c s="342" r="AU22" t="n">
        <f>IF(AT$16=0,0,-AT22/AT$16)</f>
        <v>0</v>
      </c>
      <c s="339" r="AV22"/>
      <c s="339" r="AW22" t="n">
        <f>SUM(AW23:AW25)</f>
        <v>0</v>
      </c>
      <c s="342" r="AX22" t="n">
        <f>IF(AW$16=0,0,-AW22/AW$16)</f>
        <v>0</v>
      </c>
      <c s="339" r="AY22"/>
      <c s="339" r="AZ22" t="n">
        <f>SUM(AZ23:AZ25)</f>
        <v>0</v>
      </c>
      <c s="342" r="BA22" t="n">
        <f>IF(AZ$16=0,0,-AZ22/AZ$16)</f>
        <v>0</v>
      </c>
      <c s="321" r="BB22"/>
      <c s="339" r="BC22" t="n">
        <f>IF(BC$6=0,0,(AN22*AN$6+AQ22*AQ$6+AT22*AT$6+AW22*AW$6+AZ22*AZ$6)/BC$6)</f>
        <v>0</v>
      </c>
      <c s="361" r="BD22" t="n">
        <f>IF(BC$16=0,0,-BC22/BC$16)</f>
        <v>0</v>
      </c>
      <c s="324" r="BE22"/>
      <c s="339" r="BF22" t="n">
        <f>SUM(BF23:BF25)</f>
        <v>0</v>
      </c>
      <c s="342" r="BG22" t="n">
        <f>IF(BF$16=0,0,-BF22/BF$16)</f>
        <v>0</v>
      </c>
      <c s="339" r="BH22"/>
      <c s="339" r="BI22" t="n">
        <f>SUM(BI23:BI25)</f>
        <v>0</v>
      </c>
      <c s="342" r="BJ22" t="n">
        <f>IF(BI$16=0,0,-BI22/BI$16)</f>
        <v>0</v>
      </c>
      <c s="339" r="BK22"/>
      <c s="339" r="BL22" t="n">
        <f>SUM(BL23:BL25)</f>
        <v>0</v>
      </c>
      <c s="342" r="BM22" t="n">
        <f>IF(BL$16=0,0,-BL22/BL$16)</f>
        <v>0</v>
      </c>
      <c s="339" r="BN22"/>
      <c s="339" r="BO22" t="n">
        <f>SUM(BO23:BO25)</f>
        <v>0</v>
      </c>
      <c s="342" r="BP22" t="n">
        <f>IF(BO$16=0,0,-BO22/BO$16)</f>
        <v>0</v>
      </c>
      <c s="339" r="BQ22"/>
      <c s="339" r="BR22" t="n">
        <f>SUM(BR23:BR25)</f>
        <v>0</v>
      </c>
      <c s="342" r="BS22" t="n">
        <f>IF(BR$16=0,0,-BR22/BR$16)</f>
        <v>0</v>
      </c>
      <c s="321" r="BT22"/>
      <c s="339" r="BU22" t="n">
        <f>IF(BU$6=0,0,(BF22*BF$6+BI22*BI$6+BL22*BL$6+BO22*BO$6+BR22*BR$6)/BU$6)</f>
        <v>0</v>
      </c>
      <c s="361" r="BV22" t="n">
        <f>IF(BU$16=0,0,-BU22/BU$16)</f>
        <v>0</v>
      </c>
      <c s="324" r="BW22"/>
      <c s="339" r="BX22" t="n">
        <f>SUM(BX23:BX25)</f>
        <v>0</v>
      </c>
      <c s="342" r="BY22" t="n">
        <f>IF(BX$16=0,0,-BX22/BX$16)</f>
        <v>0</v>
      </c>
      <c s="339" r="BZ22"/>
      <c s="339" r="CA22" t="n">
        <f>SUM(CA23:CA25)</f>
        <v>0</v>
      </c>
      <c s="342" r="CB22" t="n">
        <f>IF(CA$16=0,0,-CA22/CA$16)</f>
        <v>0</v>
      </c>
      <c s="339" r="CC22"/>
      <c s="339" r="CD22" t="n">
        <f>SUM(CD23:CD25)</f>
        <v>0</v>
      </c>
      <c s="342" r="CE22" t="n">
        <f>IF(CD$16=0,0,-CD22/CD$16)</f>
        <v>0</v>
      </c>
      <c s="339" r="CF22"/>
      <c s="339" r="CG22" t="n">
        <f>SUM(CG23:CG25)</f>
        <v>0</v>
      </c>
      <c s="342" r="CH22" t="n">
        <f>IF(CG$16=0,0,-CG22/CG$16)</f>
        <v>0</v>
      </c>
      <c s="339" r="CI22"/>
      <c s="339" r="CJ22" t="n">
        <f>SUM(CJ23:CJ25)</f>
        <v>0</v>
      </c>
      <c s="342" r="CK22" t="n">
        <f>IF(CJ$16=0,0,-CJ22/CJ$16)</f>
        <v>0</v>
      </c>
      <c s="321" r="CL22"/>
      <c s="339" r="CM22" t="n">
        <f>IF(CM$6=0,0,(BX22*BX$6+CA22*CA$6+CD22*CD$6+CG22*CG$6+CJ22*CJ$6)/CM$6)</f>
        <v>0</v>
      </c>
      <c s="342" r="CN22" t="n">
        <f>IF(CM$16=0,0,-CM22/CM$16)</f>
        <v>0</v>
      </c>
      <c s="325" r="CO22"/>
      <c s="339" r="CP22" t="n">
        <f>IF(CP$6=0,0,(D22*D$6+V22*V$6+AN22*AN$6+BF22*BF$6+BX22*BX$6)/CP$6)</f>
        <v>0</v>
      </c>
      <c s="342" r="CQ22" t="n">
        <f>IF(CP$16=0,0,-CP22/CP$16)</f>
        <v>0</v>
      </c>
      <c s="339" r="CR22"/>
      <c s="339" r="CS22" t="n">
        <f>IF(CS$6=0,0,(G22*G$6+Y22*Y$6+AQ22*AQ$6+BI22*BI$6+CA22*CA$6)/CS$6)</f>
        <v>0</v>
      </c>
      <c s="342" r="CT22" t="n">
        <f>IF(CS$16=0,0,-CS22/CS$16)</f>
        <v>0</v>
      </c>
      <c s="339" r="CU22"/>
      <c s="339" r="CV22" t="n">
        <f>IF(CV$6=0,0,(J22*J$6+AB22*AB$6+AT22*AT$6+BL22*BL$6+CD22*CD$6)/CV$6)</f>
        <v>0</v>
      </c>
      <c s="342" r="CW22" t="n">
        <f>IF(CV$16=0,0,-CV22/CV$16)</f>
        <v>0</v>
      </c>
      <c s="339" r="CX22"/>
      <c s="339" r="CY22" t="n">
        <f>IF(CY$6=0,0,(M22*M$6+AE22*AE$6+AW22*AW$6+BO22*BO$6+CG22*CG$6)/CY$6)</f>
        <v>0</v>
      </c>
      <c s="342" r="CZ22" t="n">
        <f>IF(CY$16=0,0,-CY22/CY$16)</f>
        <v>0</v>
      </c>
      <c s="339" r="DA22"/>
      <c s="339" r="DB22" t="n">
        <f>IF(DB$6=0,0,(P22*P$6+AH22*AH$6+AZ22*AZ$6+BR22*BR$6+CJ22*CJ$6)/DB$6)</f>
        <v>0</v>
      </c>
      <c s="342" r="DC22" t="n">
        <f>IF(DB$16=0,0,-DB22/DB$16)</f>
        <v>0</v>
      </c>
      <c s="339" r="DD22"/>
      <c s="339" r="DE22" t="n">
        <f>IF(DE$6=0,0,(S22*S$6+AK22*AK$6+BC22*BC$6+BU22*BU$6+CM22*CM$6)/DE$6)</f>
        <v>0</v>
      </c>
      <c s="342" r="DF22" t="n">
        <f>IF(DE$16=0,0,-DE22/DE$16)</f>
        <v>0</v>
      </c>
      <c s="380" r="DG22"/>
    </row>
    <row r="23" spans="1:111" ht="16.05" hidden="1" customHeight="1" outlineLevel="1">
      <c s="390" r="A23"/>
      <c s="391" r="B23" t="str">
        <v>             -关税</v>
      </c>
      <c s="392" r="C23"/>
      <c s="393" r="D23" t="n">
        <f>-D$76*D$77</f>
        <v>0</v>
      </c>
      <c s="394" r="E23" t="n">
        <f>IF(D$16=0,0,-D23/D$16)</f>
        <v>0</v>
      </c>
      <c s="393" r="F23"/>
      <c s="393" r="G23" t="n">
        <f>-G$76*G$77</f>
        <v>0</v>
      </c>
      <c s="394" r="H23" t="n">
        <f>IF(G$16=0,0,-G23/G$16)</f>
        <v>0</v>
      </c>
      <c s="395" r="I23"/>
      <c s="393" r="J23" t="n">
        <f>-J$76*J$77</f>
        <v>0</v>
      </c>
      <c s="394" r="K23" t="n">
        <f>IF(J$16=0,0,-J23/J$16)</f>
        <v>0</v>
      </c>
      <c s="393" r="L23"/>
      <c s="393" r="M23" t="n">
        <f>-M$76*M$77</f>
        <v>0</v>
      </c>
      <c s="394" r="N23" t="n">
        <f>IF(M$16=0,0,-M23/M$16)</f>
        <v>0</v>
      </c>
      <c s="393" r="O23"/>
      <c s="393" r="P23" t="n">
        <f>-P$76*P$77</f>
        <v>0</v>
      </c>
      <c s="394" r="Q23" t="n">
        <f>IF(P$16=0,0,-P23/P$16)</f>
        <v>0</v>
      </c>
      <c s="396" r="R23"/>
      <c s="393" r="S23" t="n">
        <f>IF(S$6=0,0,(D23*D$6+G23*G$6+J23*J$6+M23*M$6+P23*P$6)/S$6)</f>
        <v>0</v>
      </c>
      <c s="397" r="T23" t="n">
        <f>IF(S$16=0,0,-S23/S$16)</f>
        <v>0</v>
      </c>
      <c s="396" r="U23"/>
      <c s="393" r="V23" t="n">
        <f>-V$76*V$77</f>
        <v>0</v>
      </c>
      <c s="394" r="W23" t="n">
        <f>IF(V$16=0,0,-V23/V$16)</f>
        <v>0</v>
      </c>
      <c s="393" r="X23"/>
      <c s="393" r="Y23" t="n">
        <f>-Y$76*Y$77</f>
        <v>0</v>
      </c>
      <c s="394" r="Z23" t="n">
        <f>IF(Y$16=0,0,-Y23/Y$16)</f>
        <v>0</v>
      </c>
      <c s="395" r="AA23"/>
      <c s="393" r="AB23" t="n">
        <f>-AB$76*AB$77</f>
        <v>0</v>
      </c>
      <c s="394" r="AC23" t="n">
        <f>IF(AB$16=0,0,-AB23/AB$16)</f>
        <v>0</v>
      </c>
      <c s="393" r="AD23"/>
      <c s="393" r="AE23" t="n">
        <f>-AE$76*AE$77</f>
        <v>0</v>
      </c>
      <c s="394" r="AF23" t="n">
        <f>IF(AE$16=0,0,-AE23/AE$16)</f>
        <v>0</v>
      </c>
      <c s="393" r="AG23"/>
      <c s="393" r="AH23" t="n">
        <f>-AH$76*AH$77</f>
        <v>0</v>
      </c>
      <c s="394" r="AI23" t="n">
        <f>IF(AH$16=0,0,-AH23/AH$16)</f>
        <v>0</v>
      </c>
      <c s="396" r="AJ23"/>
      <c s="393" r="AK23" t="n">
        <f>IF(AK$6=0,0,(V23*V$6+Y23*Y$6+AB23*AB$6+AE23*AE$6+AH23*AH$6)/AK$6)</f>
        <v>0</v>
      </c>
      <c s="398" r="AL23" t="n">
        <f>IF(AK$16=0,0,-AK23/AK$16)</f>
        <v>0</v>
      </c>
      <c s="396" r="AM23"/>
      <c s="393" r="AN23" t="n">
        <f>-AN$76*AN$77</f>
        <v>0</v>
      </c>
      <c s="394" r="AO23" t="n">
        <f>IF(AN$16=0,0,-AN23/AN$16)</f>
        <v>0</v>
      </c>
      <c s="393" r="AP23"/>
      <c s="393" r="AQ23" t="n">
        <f>-AQ$76*AQ$77</f>
        <v>0</v>
      </c>
      <c s="394" r="AR23" t="n">
        <f>IF(AQ$16=0,0,-AQ23/AQ$16)</f>
        <v>0</v>
      </c>
      <c s="395" r="AS23"/>
      <c s="393" r="AT23" t="n">
        <f>-AT$76*AT$77</f>
        <v>0</v>
      </c>
      <c s="394" r="AU23" t="n">
        <f>IF(AT$16=0,0,-AT23/AT$16)</f>
        <v>0</v>
      </c>
      <c s="393" r="AV23"/>
      <c s="393" r="AW23" t="n">
        <f>-AW$76*AW$77</f>
        <v>0</v>
      </c>
      <c s="394" r="AX23" t="n">
        <f>IF(AW$16=0,0,-AW23/AW$16)</f>
        <v>0</v>
      </c>
      <c s="393" r="AY23"/>
      <c s="393" r="AZ23" t="n">
        <f>-AZ$76*AZ$77</f>
        <v>0</v>
      </c>
      <c s="394" r="BA23" t="n">
        <f>IF(AZ$16=0,0,-AZ23/AZ$16)</f>
        <v>0</v>
      </c>
      <c s="396" r="BB23"/>
      <c s="393" r="BC23" t="n">
        <f>IF(BC$6=0,0,(AN23*AN$6+AQ23*AQ$6+AT23*AT$6+AW23*AW$6+AZ23*AZ$6)/BC$6)</f>
        <v>0</v>
      </c>
      <c s="398" r="BD23" t="n">
        <f>IF(BC$16=0,0,-BC23/BC$16)</f>
        <v>0</v>
      </c>
      <c s="396" r="BE23"/>
      <c s="393" r="BF23" t="n">
        <f>-BF$76*BF$77</f>
        <v>0</v>
      </c>
      <c s="394" r="BG23" t="n">
        <f>IF(BF$16=0,0,-BF23/BF$16)</f>
        <v>0</v>
      </c>
      <c s="393" r="BH23"/>
      <c s="393" r="BI23" t="n">
        <f>-BI$76*BI$77</f>
        <v>0</v>
      </c>
      <c s="394" r="BJ23" t="n">
        <f>IF(BI$16=0,0,-BI23/BI$16)</f>
        <v>0</v>
      </c>
      <c s="395" r="BK23"/>
      <c s="393" r="BL23" t="n">
        <f>-BL$76*BL$77</f>
        <v>0</v>
      </c>
      <c s="394" r="BM23" t="n">
        <f>IF(BL$16=0,0,-BL23/BL$16)</f>
        <v>0</v>
      </c>
      <c s="393" r="BN23"/>
      <c s="393" r="BO23" t="n">
        <f>-BO$76*BO$77</f>
        <v>0</v>
      </c>
      <c s="394" r="BP23" t="n">
        <f>IF(BO$16=0,0,-BO23/BO$16)</f>
        <v>0</v>
      </c>
      <c s="393" r="BQ23"/>
      <c s="393" r="BR23" t="n">
        <f>-BR$76*BR$77</f>
        <v>0</v>
      </c>
      <c s="394" r="BS23" t="n">
        <f>IF(BR$16=0,0,-BR23/BR$16)</f>
        <v>0</v>
      </c>
      <c s="396" r="BT23"/>
      <c s="393" r="BU23" t="n">
        <f>IF(BU$6=0,0,(BF23*BF$6+BI23*BI$6+BL23*BL$6+BO23*BO$6+BR23*BR$6)/BU$6)</f>
        <v>0</v>
      </c>
      <c s="398" r="BV23" t="n">
        <f>IF(BU$16=0,0,-BU23/BU$16)</f>
        <v>0</v>
      </c>
      <c s="399" r="BW23"/>
      <c s="393" r="BX23" t="n">
        <f>-BX$76*BX$77</f>
        <v>0</v>
      </c>
      <c s="394" r="BY23" t="n">
        <f>IF(BX$16=0,0,-BX23/BX$16)</f>
        <v>0</v>
      </c>
      <c s="393" r="BZ23"/>
      <c s="393" r="CA23" t="n">
        <f>-CA$76*CA$77</f>
        <v>0</v>
      </c>
      <c s="394" r="CB23" t="n">
        <f>IF(CA$16=0,0,-CA23/CA$16)</f>
        <v>0</v>
      </c>
      <c s="395" r="CC23"/>
      <c s="393" r="CD23" t="n">
        <f>-CD$76*CD$77</f>
        <v>0</v>
      </c>
      <c s="394" r="CE23" t="n">
        <f>IF(CD$16=0,0,-CD23/CD$16)</f>
        <v>0</v>
      </c>
      <c s="393" r="CF23"/>
      <c s="393" r="CG23" t="n">
        <f>-CG$76*CG$77</f>
        <v>0</v>
      </c>
      <c s="394" r="CH23" t="n">
        <f>IF(CG$16=0,0,-CG23/CG$16)</f>
        <v>0</v>
      </c>
      <c s="393" r="CI23"/>
      <c s="393" r="CJ23" t="n">
        <f>-CJ$76*CJ$77</f>
        <v>0</v>
      </c>
      <c s="394" r="CK23" t="n">
        <f>IF(CJ$16=0,0,-CJ23/CJ$16)</f>
        <v>0</v>
      </c>
      <c s="396" r="CL23"/>
      <c s="393" r="CM23" t="n">
        <f>IF(CM$6=0,0,(BX23*BX$6+CA23*CA$6+CD23*CD$6+CG23*CG$6+CJ23*CJ$6)/CM$6)</f>
        <v>0</v>
      </c>
      <c s="398" r="CN23" t="n">
        <f>IF(CM$16=0,0,-CM23/CM$16)</f>
        <v>0</v>
      </c>
      <c s="400" r="CO23"/>
      <c s="393" r="CP23" t="n">
        <f>IF(CP$6=0,0,(D23*D$6+V23*V$6+AN23*AN$6+BF23*BF$6+BX23*BX$6)/CP$6)</f>
        <v>0</v>
      </c>
      <c s="378" r="CQ23" t="n">
        <f>IF(CP$16=0,0,-CP23/CP$16)</f>
        <v>0</v>
      </c>
      <c s="379" r="CR23"/>
      <c s="393" r="CS23" t="n">
        <f>IF(CS$6=0,0,(G23*G$6+Y23*Y$6+AQ23*AQ$6+BI23*BI$6+CA23*CA$6)/CS$6)</f>
        <v>0</v>
      </c>
      <c s="378" r="CT23" t="n">
        <f>IF(CS$16=0,0,-CS23/CS$16)</f>
        <v>0</v>
      </c>
      <c s="379" r="CU23"/>
      <c s="393" r="CV23" t="n">
        <f>IF(CV$6=0,0,(J23*J$6+AB23*AB$6+AT23*AT$6+BL23*BL$6+CD23*CD$6)/CV$6)</f>
        <v>0</v>
      </c>
      <c s="378" r="CW23" t="n">
        <f>IF(CV$16=0,0,-CV23/CV$16)</f>
        <v>0</v>
      </c>
      <c s="379" r="CX23"/>
      <c s="393" r="CY23" t="n">
        <f>IF(CY$6=0,0,(M23*M$6+AE23*AE$6+AW23*AW$6+BO23*BO$6+CG23*CG$6)/CY$6)</f>
        <v>0</v>
      </c>
      <c s="378" r="CZ23" t="n">
        <f>IF(CY$16=0,0,-CY23/CY$16)</f>
        <v>0</v>
      </c>
      <c s="379" r="DA23"/>
      <c s="393" r="DB23" t="n">
        <f>IF(DB$6=0,0,(P23*P$6+AH23*AH$6+AZ23*AZ$6+BR23*BR$6+CJ23*CJ$6)/DB$6)</f>
        <v>0</v>
      </c>
      <c s="378" r="DC23" t="n">
        <f>IF(DB$16=0,0,-DB23/DB$16)</f>
        <v>0</v>
      </c>
      <c s="393" r="DD23"/>
      <c s="393" r="DE23" t="n">
        <f>IF(DE$6=0,0,(S23*S$6+AK23*AK$6+BC23*BC$6+BU23*BU$6+CM23*CM$6)/DE$6)</f>
        <v>0</v>
      </c>
      <c s="398" r="DF23" t="n">
        <f>IF(DE$16=0,0,-DE23/DE$16)</f>
        <v>0</v>
      </c>
      <c s="401" r="DG23"/>
    </row>
    <row r="24" spans="1:111" hidden="1" outlineLevel="1">
      <c s="390" r="A24"/>
      <c s="391" r="B24" t="str">
        <v>             -消费税</v>
      </c>
      <c s="392" r="C24"/>
      <c s="393" r="D24" t="n">
        <f>-D16*D$74</f>
        <v>0</v>
      </c>
      <c s="394" r="E24" t="n">
        <f>IF(D$16=0,0,-D24/D$16)</f>
        <v>0</v>
      </c>
      <c s="393" r="F24"/>
      <c s="393" r="G24" t="n">
        <f>-G16*G$74</f>
        <v>0</v>
      </c>
      <c s="394" r="H24" t="n">
        <f>IF(G$16=0,0,-G24/G$16)</f>
        <v>0</v>
      </c>
      <c s="395" r="I24"/>
      <c s="393" r="J24" t="n">
        <f>-J16*J$74</f>
        <v>0</v>
      </c>
      <c s="394" r="K24" t="n">
        <f>IF(J$16=0,0,-J24/J$16)</f>
        <v>0</v>
      </c>
      <c s="393" r="L24"/>
      <c s="393" r="M24" t="n">
        <f>-M16*M$74</f>
        <v>0</v>
      </c>
      <c s="394" r="N24" t="n">
        <f>IF(M$16=0,0,-M24/M$16)</f>
        <v>0</v>
      </c>
      <c s="393" r="O24"/>
      <c s="393" r="P24" t="n">
        <f>-P16*P$74</f>
        <v>0</v>
      </c>
      <c s="394" r="Q24" t="n">
        <f>IF(P$16=0,0,-P24/P$16)</f>
        <v>0</v>
      </c>
      <c s="396" r="R24"/>
      <c s="393" r="S24" t="n">
        <f>IF(S$6=0,0,(D24*D$6+G24*G$6+J24*J$6+M24*M$6+P24*P$6)/S$6)</f>
        <v>0</v>
      </c>
      <c s="397" r="T24" t="n">
        <f>IF(S$16=0,0,-S24/S$16)</f>
        <v>0</v>
      </c>
      <c s="396" r="U24"/>
      <c s="393" r="V24" t="n">
        <f>-V16*V$74</f>
        <v>0</v>
      </c>
      <c s="394" r="W24" t="n">
        <f>IF(V$16=0,0,-V24/V$16)</f>
        <v>0</v>
      </c>
      <c s="393" r="X24"/>
      <c s="393" r="Y24" t="n">
        <f>-Y16*Y$74</f>
        <v>0</v>
      </c>
      <c s="394" r="Z24" t="n">
        <f>IF(Y$16=0,0,-Y24/Y$16)</f>
        <v>0</v>
      </c>
      <c s="395" r="AA24"/>
      <c s="393" r="AB24" t="n">
        <f>-AB16*AB$74</f>
        <v>0</v>
      </c>
      <c s="394" r="AC24" t="n">
        <f>IF(AB$16=0,0,-AB24/AB$16)</f>
        <v>0</v>
      </c>
      <c s="393" r="AD24"/>
      <c s="393" r="AE24" t="n">
        <f>-AE16*AE$74</f>
        <v>0</v>
      </c>
      <c s="394" r="AF24" t="n">
        <f>IF(AE$16=0,0,-AE24/AE$16)</f>
        <v>0</v>
      </c>
      <c s="393" r="AG24"/>
      <c s="393" r="AH24" t="n">
        <f>-AH16*AH$74</f>
        <v>0</v>
      </c>
      <c s="394" r="AI24" t="n">
        <f>IF(AH$16=0,0,-AH24/AH$16)</f>
        <v>0</v>
      </c>
      <c s="396" r="AJ24"/>
      <c s="393" r="AK24" t="n">
        <f>IF(AK$6=0,0,(V24*V$6+Y24*Y$6+AB24*AB$6+AE24*AE$6+AH24*AH$6)/AK$6)</f>
        <v>0</v>
      </c>
      <c s="398" r="AL24" t="n">
        <f>IF(AK$16=0,0,-AK24/AK$16)</f>
        <v>0</v>
      </c>
      <c s="396" r="AM24"/>
      <c s="393" r="AN24" t="n">
        <f>-AN16*AN$74</f>
        <v>0</v>
      </c>
      <c s="394" r="AO24" t="n">
        <f>IF(AN$16=0,0,-AN24/AN$16)</f>
        <v>0</v>
      </c>
      <c s="393" r="AP24"/>
      <c s="393" r="AQ24" t="n">
        <f>-AQ16*AQ$74</f>
        <v>0</v>
      </c>
      <c s="394" r="AR24" t="n">
        <f>IF(AQ$16=0,0,-AQ24/AQ$16)</f>
        <v>0</v>
      </c>
      <c s="395" r="AS24"/>
      <c s="393" r="AT24" t="n">
        <f>-AT16*AT$74</f>
        <v>0</v>
      </c>
      <c s="394" r="AU24" t="n">
        <f>IF(AT$16=0,0,-AT24/AT$16)</f>
        <v>0</v>
      </c>
      <c s="393" r="AV24"/>
      <c s="393" r="AW24" t="n">
        <f>-AW16*AW$74</f>
        <v>0</v>
      </c>
      <c s="394" r="AX24" t="n">
        <f>IF(AW$16=0,0,-AW24/AW$16)</f>
        <v>0</v>
      </c>
      <c s="393" r="AY24"/>
      <c s="393" r="AZ24" t="n">
        <f>-AZ16*AZ$74</f>
        <v>0</v>
      </c>
      <c s="394" r="BA24" t="n">
        <f>IF(AZ$16=0,0,-AZ24/AZ$16)</f>
        <v>0</v>
      </c>
      <c s="396" r="BB24"/>
      <c s="393" r="BC24" t="n">
        <f>IF(BC$6=0,0,(AN24*AN$6+AQ24*AQ$6+AT24*AT$6+AW24*AW$6+AZ24*AZ$6)/BC$6)</f>
        <v>0</v>
      </c>
      <c s="398" r="BD24" t="n">
        <f>IF(BC$16=0,0,-BC24/BC$16)</f>
        <v>0</v>
      </c>
      <c s="396" r="BE24"/>
      <c s="393" r="BF24" t="n">
        <f>-BF16*BF$74</f>
        <v>0</v>
      </c>
      <c s="394" r="BG24" t="n">
        <f>IF(BF$16=0,0,-BF24/BF$16)</f>
        <v>0</v>
      </c>
      <c s="393" r="BH24"/>
      <c s="393" r="BI24" t="n">
        <f>-BI16*BI$74</f>
        <v>0</v>
      </c>
      <c s="394" r="BJ24" t="n">
        <f>IF(BI$16=0,0,-BI24/BI$16)</f>
        <v>0</v>
      </c>
      <c s="395" r="BK24"/>
      <c s="393" r="BL24" t="n">
        <f>-BL16*BL$74</f>
        <v>0</v>
      </c>
      <c s="394" r="BM24" t="n">
        <f>IF(BL$16=0,0,-BL24/BL$16)</f>
        <v>0</v>
      </c>
      <c s="393" r="BN24"/>
      <c s="393" r="BO24" t="n">
        <f>-BO16*BO$74</f>
        <v>0</v>
      </c>
      <c s="394" r="BP24" t="n">
        <f>IF(BO$16=0,0,-BO24/BO$16)</f>
        <v>0</v>
      </c>
      <c s="393" r="BQ24"/>
      <c s="393" r="BR24" t="n">
        <f>-BR16*BR$74</f>
        <v>0</v>
      </c>
      <c s="394" r="BS24" t="n">
        <f>IF(BR$16=0,0,-BR24/BR$16)</f>
        <v>0</v>
      </c>
      <c s="396" r="BT24"/>
      <c s="393" r="BU24" t="n">
        <f>IF(BU$6=0,0,(BF24*BF$6+BI24*BI$6+BL24*BL$6+BO24*BO$6+BR24*BR$6)/BU$6)</f>
        <v>0</v>
      </c>
      <c s="398" r="BV24" t="n">
        <f>IF(BU$16=0,0,-BU24/BU$16)</f>
        <v>0</v>
      </c>
      <c s="399" r="BW24"/>
      <c s="393" r="BX24" t="n">
        <f>-BX16*BX$74</f>
        <v>0</v>
      </c>
      <c s="394" r="BY24" t="n">
        <f>IF(BX$16=0,0,-BX24/BX$16)</f>
        <v>0</v>
      </c>
      <c s="393" r="BZ24"/>
      <c s="393" r="CA24" t="n">
        <f>-CA16*CA$74</f>
        <v>0</v>
      </c>
      <c s="394" r="CB24" t="n">
        <f>IF(CA$16=0,0,-CA24/CA$16)</f>
        <v>0</v>
      </c>
      <c s="395" r="CC24"/>
      <c s="393" r="CD24" t="n">
        <f>-CD16*CD$74</f>
        <v>0</v>
      </c>
      <c s="394" r="CE24" t="n">
        <f>IF(CD$16=0,0,-CD24/CD$16)</f>
        <v>0</v>
      </c>
      <c s="393" r="CF24"/>
      <c s="393" r="CG24" t="n">
        <f>-CG16*CG$74</f>
        <v>0</v>
      </c>
      <c s="394" r="CH24" t="n">
        <f>IF(CG$16=0,0,-CG24/CG$16)</f>
        <v>0</v>
      </c>
      <c s="393" r="CI24"/>
      <c s="393" r="CJ24" t="n">
        <f>-CJ16*CJ$74</f>
        <v>0</v>
      </c>
      <c s="394" r="CK24" t="n">
        <f>IF(CJ$16=0,0,-CJ24/CJ$16)</f>
        <v>0</v>
      </c>
      <c s="396" r="CL24"/>
      <c s="393" r="CM24" t="n">
        <f>IF(CM$6=0,0,(BX24*BX$6+CA24*CA$6+CD24*CD$6+CG24*CG$6+CJ24*CJ$6)/CM$6)</f>
        <v>0</v>
      </c>
      <c s="398" r="CN24" t="n">
        <f>IF(CM$16=0,0,-CM24/CM$16)</f>
        <v>0</v>
      </c>
      <c s="400" r="CO24"/>
      <c s="393" r="CP24" t="n">
        <f>IF(CP$6=0,0,(D24*D$6+V24*V$6+AN24*AN$6+BF24*BF$6+BX24*BX$6)/CP$6)</f>
        <v>0</v>
      </c>
      <c s="378" r="CQ24" t="n">
        <f>IF(CP$16=0,0,-CP24/CP$16)</f>
        <v>0</v>
      </c>
      <c s="379" r="CR24"/>
      <c s="393" r="CS24" t="n">
        <f>IF(CS$6=0,0,(G24*G$6+Y24*Y$6+AQ24*AQ$6+BI24*BI$6+CA24*CA$6)/CS$6)</f>
        <v>0</v>
      </c>
      <c s="378" r="CT24" t="n">
        <f>IF(CS$16=0,0,-CS24/CS$16)</f>
        <v>0</v>
      </c>
      <c s="379" r="CU24"/>
      <c s="393" r="CV24" t="n">
        <f>IF(CV$6=0,0,(J24*J$6+AB24*AB$6+AT24*AT$6+BL24*BL$6+CD24*CD$6)/CV$6)</f>
        <v>0</v>
      </c>
      <c s="378" r="CW24" t="n">
        <f>IF(CV$16=0,0,-CV24/CV$16)</f>
        <v>0</v>
      </c>
      <c s="379" r="CX24"/>
      <c s="393" r="CY24" t="n">
        <f>IF(CY$6=0,0,(M24*M$6+AE24*AE$6+AW24*AW$6+BO24*BO$6+CG24*CG$6)/CY$6)</f>
        <v>0</v>
      </c>
      <c s="378" r="CZ24" t="n">
        <f>IF(CY$16=0,0,-CY24/CY$16)</f>
        <v>0</v>
      </c>
      <c s="379" r="DA24"/>
      <c s="393" r="DB24" t="n">
        <f>IF(DB$6=0,0,(P24*P$6+AH24*AH$6+AZ24*AZ$6+BR24*BR$6+CJ24*CJ$6)/DB$6)</f>
        <v>0</v>
      </c>
      <c s="378" r="DC24" t="n">
        <f>IF(DB$16=0,0,-DB24/DB$16)</f>
        <v>0</v>
      </c>
      <c s="393" r="DD24"/>
      <c s="393" r="DE24" t="n">
        <f>IF(DE$6=0,0,(S24*S$6+AK24*AK$6+BC24*BC$6+BU24*BU$6+CM24*CM$6)/DE$6)</f>
        <v>0</v>
      </c>
      <c s="398" r="DF24" t="n">
        <f>IF(DE$16=0,0,-DE24/DE$16)</f>
        <v>0</v>
      </c>
      <c s="401" r="DG24"/>
    </row>
    <row r="25" spans="1:111" hidden="1" outlineLevel="1">
      <c s="390" r="A25"/>
      <c s="391" r="B25" t="str">
        <v>             -城建税及教育附加税</v>
      </c>
      <c s="392" r="C25"/>
      <c s="393" r="D25" t="n">
        <f>(MIN(0,D9-D18*D$73)+D24)*D$75</f>
        <v>0</v>
      </c>
      <c s="394" r="E25" t="n">
        <f>IF(D$16=0,0,-D25/D$16)</f>
        <v>0</v>
      </c>
      <c s="393" r="F25"/>
      <c s="393" r="G25" t="n">
        <f>(MIN(0,G9-G18*G$73)+G24)*G$75</f>
        <v>0</v>
      </c>
      <c s="394" r="H25" t="n">
        <f>IF(G$16=0,0,-G25/G$16)</f>
        <v>0</v>
      </c>
      <c s="393" r="I25"/>
      <c s="393" r="J25" t="n">
        <f>(MIN(0,J9-J18*J$73)+J24)*J$75</f>
        <v>0</v>
      </c>
      <c s="394" r="K25" t="n">
        <f>IF(J$16=0,0,-J25/J$16)</f>
        <v>0</v>
      </c>
      <c s="393" r="L25"/>
      <c s="393" r="M25" t="n">
        <f>(MIN(0,M9-M18*M$73)+M24)*M$75</f>
        <v>0</v>
      </c>
      <c s="394" r="N25" t="n">
        <f>IF(M$16=0,0,-M25/M$16)</f>
        <v>0</v>
      </c>
      <c s="393" r="O25"/>
      <c s="393" r="P25" t="n">
        <f>(MIN(0,P9-P18*P$73)+P24)*P$75</f>
        <v>0</v>
      </c>
      <c s="394" r="Q25" t="n">
        <f>IF(P$16=0,0,-P25/P$16)</f>
        <v>0</v>
      </c>
      <c s="396" r="R25"/>
      <c s="393" r="S25" t="n">
        <f>IF(S$6=0,0,(D25*D$6+G25*G$6+J25*J$6+M25*M$6+P25*P$6)/S$6)</f>
        <v>0</v>
      </c>
      <c s="397" r="T25" t="n">
        <f>IF(S$16=0,0,-S25/S$16)</f>
        <v>0</v>
      </c>
      <c s="396" r="U25"/>
      <c s="393" r="V25" t="n">
        <f>(MIN(0,V9-V18*V$73)+V24)*V$75</f>
        <v>0</v>
      </c>
      <c s="394" r="W25" t="n">
        <f>IF(V$16=0,0,-V25/V$16)</f>
        <v>0</v>
      </c>
      <c s="393" r="X25"/>
      <c s="393" r="Y25" t="n">
        <f>(MIN(0,Y9-Y18*Y$73)+Y24)*Y$75</f>
        <v>0</v>
      </c>
      <c s="394" r="Z25" t="n">
        <f>IF(Y$16=0,0,-Y25/Y$16)</f>
        <v>0</v>
      </c>
      <c s="393" r="AA25"/>
      <c s="393" r="AB25" t="n">
        <f>(MIN(0,AB9-AB18*AB$73)+AB24)*AB$75</f>
        <v>0</v>
      </c>
      <c s="394" r="AC25" t="n">
        <f>IF(AB$16=0,0,-AB25/AB$16)</f>
        <v>0</v>
      </c>
      <c s="393" r="AD25"/>
      <c s="393" r="AE25" t="n">
        <f>(MIN(0,AE9-AE18*AE$73)+AE24)*AE$75</f>
        <v>0</v>
      </c>
      <c s="394" r="AF25" t="n">
        <f>IF(AE$16=0,0,-AE25/AE$16)</f>
        <v>0</v>
      </c>
      <c s="393" r="AG25"/>
      <c s="393" r="AH25" t="n">
        <f>(MIN(0,AH9-AH18*AH$73)+AH24)*AH$75</f>
        <v>0</v>
      </c>
      <c s="394" r="AI25" t="n">
        <f>IF(AH$16=0,0,-AH25/AH$16)</f>
        <v>0</v>
      </c>
      <c s="396" r="AJ25"/>
      <c s="393" r="AK25" t="n">
        <f>IF(AK$6=0,0,(V25*V$6+Y25*Y$6+AB25*AB$6+AE25*AE$6+AH25*AH$6)/AK$6)</f>
        <v>0</v>
      </c>
      <c s="398" r="AL25" t="n">
        <f>IF(AK$16=0,0,-AK25/AK$16)</f>
        <v>0</v>
      </c>
      <c s="396" r="AM25"/>
      <c s="393" r="AN25" t="n">
        <f>(MIN(0,AN9-AN18*AN$73)+AN24)*AN$75</f>
        <v>0</v>
      </c>
      <c s="394" r="AO25" t="n">
        <f>IF(AN$16=0,0,-AN25/AN$16)</f>
        <v>0</v>
      </c>
      <c s="393" r="AP25"/>
      <c s="393" r="AQ25" t="n">
        <f>(MIN(0,AQ9-AQ18*AQ$73)+AQ24)*AQ$75</f>
        <v>0</v>
      </c>
      <c s="394" r="AR25" t="n">
        <f>IF(AQ$16=0,0,-AQ25/AQ$16)</f>
        <v>0</v>
      </c>
      <c s="393" r="AS25"/>
      <c s="393" r="AT25" t="n">
        <f>(MIN(0,AT9-AT18*AT$73)+AT24)*AT$75</f>
        <v>0</v>
      </c>
      <c s="394" r="AU25" t="n">
        <f>IF(AT$16=0,0,-AT25/AT$16)</f>
        <v>0</v>
      </c>
      <c s="393" r="AV25"/>
      <c s="393" r="AW25" t="n">
        <f>(MIN(0,AW9-AW18*AW$73)+AW24)*AW$75</f>
        <v>0</v>
      </c>
      <c s="394" r="AX25" t="n">
        <f>IF(AW$16=0,0,-AW25/AW$16)</f>
        <v>0</v>
      </c>
      <c s="393" r="AY25"/>
      <c s="393" r="AZ25" t="n">
        <f>(MIN(0,AZ9-AZ18*AZ$73)+AZ24)*AZ$75</f>
        <v>0</v>
      </c>
      <c s="394" r="BA25" t="n">
        <f>IF(AZ$16=0,0,-AZ25/AZ$16)</f>
        <v>0</v>
      </c>
      <c s="396" r="BB25"/>
      <c s="393" r="BC25" t="n">
        <f>IF(BC$6=0,0,(AN25*AN$6+AQ25*AQ$6+AT25*AT$6+AW25*AW$6+AZ25*AZ$6)/BC$6)</f>
        <v>0</v>
      </c>
      <c s="398" r="BD25" t="n">
        <f>IF(BC$16=0,0,-BC25/BC$16)</f>
        <v>0</v>
      </c>
      <c s="396" r="BE25"/>
      <c s="393" r="BF25" t="n">
        <f>(MIN(0,BF9-BF18*BF$73)+BF24)*BF$75</f>
        <v>0</v>
      </c>
      <c s="394" r="BG25" t="n">
        <f>IF(BF$16=0,0,-BF25/BF$16)</f>
        <v>0</v>
      </c>
      <c s="393" r="BH25"/>
      <c s="393" r="BI25" t="n">
        <f>(MIN(0,BI9-BI18*BI$73)+BI24)*BI$75</f>
        <v>0</v>
      </c>
      <c s="394" r="BJ25" t="n">
        <f>IF(BI$16=0,0,-BI25/BI$16)</f>
        <v>0</v>
      </c>
      <c s="393" r="BK25"/>
      <c s="393" r="BL25" t="n">
        <f>(MIN(0,BL9-BL18*BL$73)+BL24)*BL$75</f>
        <v>0</v>
      </c>
      <c s="394" r="BM25" t="n">
        <f>IF(BL$16=0,0,-BL25/BL$16)</f>
        <v>0</v>
      </c>
      <c s="393" r="BN25"/>
      <c s="393" r="BO25" t="n">
        <f>(MIN(0,BO9-BO18*BO$73)+BO24)*BO$75</f>
        <v>0</v>
      </c>
      <c s="394" r="BP25" t="n">
        <f>IF(BO$16=0,0,-BO25/BO$16)</f>
        <v>0</v>
      </c>
      <c s="393" r="BQ25"/>
      <c s="393" r="BR25" t="n">
        <f>(MIN(0,BR9-BR18*BR$73)+BR24)*BR$75</f>
        <v>0</v>
      </c>
      <c s="394" r="BS25" t="n">
        <f>IF(BR$16=0,0,-BR25/BR$16)</f>
        <v>0</v>
      </c>
      <c s="396" r="BT25"/>
      <c s="393" r="BU25" t="n">
        <f>IF(BU$6=0,0,(BF25*BF$6+BI25*BI$6+BL25*BL$6+BO25*BO$6+BR25*BR$6)/BU$6)</f>
        <v>0</v>
      </c>
      <c s="398" r="BV25" t="n">
        <f>IF(BU$16=0,0,-BU25/BU$16)</f>
        <v>0</v>
      </c>
      <c s="396" r="BW25"/>
      <c s="393" r="BX25" t="n">
        <f>(MIN(0,BX9-BX18*BX$73)+BX24)*BX$75</f>
        <v>0</v>
      </c>
      <c s="394" r="BY25" t="n">
        <f>IF(BX$16=0,0,-BX25/BX$16)</f>
        <v>0</v>
      </c>
      <c s="393" r="BZ25"/>
      <c s="393" r="CA25" t="n">
        <f>(MIN(0,CA9-CA18*CA$73)+CA24)*CA$75</f>
        <v>0</v>
      </c>
      <c s="394" r="CB25" t="n">
        <f>IF(CA$16=0,0,-CA25/CA$16)</f>
        <v>0</v>
      </c>
      <c s="393" r="CC25"/>
      <c s="393" r="CD25" t="n">
        <f>(MIN(0,CD9-CD18*CD$73)+CD24)*CD$75</f>
        <v>0</v>
      </c>
      <c s="394" r="CE25" t="n">
        <f>IF(CD$16=0,0,-CD25/CD$16)</f>
        <v>0</v>
      </c>
      <c s="393" r="CF25"/>
      <c s="393" r="CG25" t="n">
        <f>(MIN(0,CG9-CG18*CG$73)+CG24)*CG$75</f>
        <v>0</v>
      </c>
      <c s="394" r="CH25" t="n">
        <f>IF(CG$16=0,0,-CG25/CG$16)</f>
        <v>0</v>
      </c>
      <c s="393" r="CI25"/>
      <c s="393" r="CJ25" t="n">
        <f>(MIN(0,CJ9-CJ18*CJ$73)+CJ24)*CJ$75</f>
        <v>0</v>
      </c>
      <c s="394" r="CK25" t="n">
        <f>IF(CJ$16=0,0,-CJ25/CJ$16)</f>
        <v>0</v>
      </c>
      <c s="396" r="CL25"/>
      <c s="393" r="CM25" t="n">
        <f>IF(CM$6=0,0,(BX25*BX$6+CA25*CA$6+CD25*CD$6+CG25*CG$6+CJ25*CJ$6)/CM$6)</f>
        <v>0</v>
      </c>
      <c s="398" r="CN25" t="n">
        <f>IF(CM$16=0,0,-CM25/CM$16)</f>
        <v>0</v>
      </c>
      <c s="400" r="CO25"/>
      <c s="379" r="CP25" t="n">
        <f>IF(CP$6=0,0,(D25*D$6+V25*V$6+AN25*AN$6+BF25*BF$6+BX25*BX$6)/CP$6)</f>
        <v>0</v>
      </c>
      <c s="378" r="CQ25" t="n">
        <f>IF(CP$16=0,0,-CP25/CP$16)</f>
        <v>0</v>
      </c>
      <c s="379" r="CR25"/>
      <c s="379" r="CS25" t="n">
        <f>IF(CS$6=0,0,(G25*G$6+Y25*Y$6+AQ25*AQ$6+BI25*BI$6+CA25*CA$6)/CS$6)</f>
        <v>0</v>
      </c>
      <c s="378" r="CT25" t="n">
        <f>IF(CS$16=0,0,-CS25/CS$16)</f>
        <v>0</v>
      </c>
      <c s="379" r="CU25"/>
      <c s="379" r="CV25" t="n">
        <f>IF(CV$6=0,0,(J25*J$6+AB25*AB$6+AT25*AT$6+BL25*BL$6+CD25*CD$6)/CV$6)</f>
        <v>0</v>
      </c>
      <c s="378" r="CW25" t="n">
        <f>IF(CV$16=0,0,-CV25/CV$16)</f>
        <v>0</v>
      </c>
      <c s="379" r="CX25"/>
      <c s="379" r="CY25" t="n">
        <f>IF(CY$6=0,0,(M25*M$6+AE25*AE$6+AW25*AW$6+BO25*BO$6+CG25*CG$6)/CY$6)</f>
        <v>0</v>
      </c>
      <c s="378" r="CZ25" t="n">
        <f>IF(CY$16=0,0,-CY25/CY$16)</f>
        <v>0</v>
      </c>
      <c s="379" r="DA25"/>
      <c s="379" r="DB25" t="n">
        <f>IF(DB$6=0,0,(P25*P$6+AH25*AH$6+AZ25*AZ$6+BR25*BR$6+CJ25*CJ$6)/DB$6)</f>
        <v>0</v>
      </c>
      <c s="378" r="DC25" t="n">
        <f>IF(DB$16=0,0,-DB25/DB$16)</f>
        <v>0</v>
      </c>
      <c s="393" r="DD25"/>
      <c s="393" r="DE25" t="n">
        <f>IF(DE$6=0,0,(S25*S$6+AK25*AK$6+BC25*BC$6+BU25*BU$6+CM25*CM$6)/DE$6)</f>
        <v>0</v>
      </c>
      <c s="398" r="DF25" t="n">
        <f>IF(DE$16=0,0,-DE25/DE$16)</f>
        <v>0</v>
      </c>
      <c s="401" r="DG25"/>
    </row>
    <row r="26" spans="1:111">
      <c s="402" r="A26"/>
      <c s="403" r="B26" t="str">
        <v>      制造费用</v>
      </c>
      <c s="336" r="C26"/>
      <c s="338" r="D26" t="n">
        <f>SUM(D27,D32)</f>
        <v>0</v>
      </c>
      <c s="361" r="E26" t="n">
        <f>IF(D$16=0,0,-D26/D$16)</f>
        <v>0</v>
      </c>
      <c s="339" r="F26"/>
      <c s="338" r="G26" t="n">
        <f>SUM(G27,G32)</f>
        <v>0</v>
      </c>
      <c s="361" r="H26" t="n">
        <f>IF(G$16=0,0,-G26/G$16)</f>
        <v>0</v>
      </c>
      <c s="339" r="I26"/>
      <c s="338" r="J26" t="n">
        <f>SUM(J27,J32)</f>
        <v>0</v>
      </c>
      <c s="361" r="K26" t="n">
        <f>IF(J$16=0,0,-J26/J$16)</f>
        <v>0</v>
      </c>
      <c s="339" r="L26"/>
      <c s="338" r="M26" t="n">
        <f>SUM(M27,M32)</f>
        <v>0</v>
      </c>
      <c s="361" r="N26" t="n">
        <f>IF(M$16=0,0,-M26/M$16)</f>
        <v>0</v>
      </c>
      <c s="339" r="O26"/>
      <c s="338" r="P26" t="n">
        <f>SUM(P27,P32)</f>
        <v>0</v>
      </c>
      <c s="361" r="Q26" t="n">
        <f>IF(P$16=0,0,-P26/P$16)</f>
        <v>0</v>
      </c>
      <c s="324" r="R26"/>
      <c s="338" r="S26" t="n">
        <f>IF(S$6=0,0,(D26*D$6+G26*G$6+J26*J$6+M26*M$6+P26*P$6)/S$6)</f>
        <v>0</v>
      </c>
      <c s="361" r="T26" t="n">
        <f>IF(S$16=0,0,-S26/S$16)</f>
        <v>0</v>
      </c>
      <c s="324" r="U26"/>
      <c s="338" r="V26" t="n">
        <f>SUM(V27,V32)</f>
        <v>0</v>
      </c>
      <c s="361" r="W26" t="n">
        <f>IF(V$16=0,0,-V26/V$16)</f>
        <v>0</v>
      </c>
      <c s="339" r="X26"/>
      <c s="338" r="Y26" t="n">
        <f>SUM(Y27,Y32)</f>
        <v>0</v>
      </c>
      <c s="361" r="Z26" t="n">
        <f>IF(Y$16=0,0,-Y26/Y$16)</f>
        <v>0</v>
      </c>
      <c s="339" r="AA26"/>
      <c s="338" r="AB26" t="n">
        <f>SUM(AB27,AB32)</f>
        <v>0</v>
      </c>
      <c s="361" r="AC26" t="n">
        <f>IF(AB$16=0,0,-AB26/AB$16)</f>
        <v>0</v>
      </c>
      <c s="339" r="AD26"/>
      <c s="338" r="AE26" t="n">
        <f>SUM(AE27,AE32)</f>
        <v>0</v>
      </c>
      <c s="361" r="AF26" t="n">
        <f>IF(AE$16=0,0,-AE26/AE$16)</f>
        <v>0</v>
      </c>
      <c s="339" r="AG26"/>
      <c s="338" r="AH26" t="n">
        <f>SUM(AH27,AH32)</f>
        <v>0</v>
      </c>
      <c s="361" r="AI26" t="n">
        <f>IF(AH$16=0,0,-AH26/AH$16)</f>
        <v>0</v>
      </c>
      <c s="324" r="AJ26"/>
      <c s="338" r="AK26" t="n">
        <f>IF(AK$6=0,0,(V26*V$6+Y26*Y$6+AB26*AB$6+AE26*AE$6+AH26*AH$6)/AK$6)</f>
        <v>0</v>
      </c>
      <c s="361" r="AL26" t="n">
        <f>IF(AK$16=0,0,-AK26/AK$16)</f>
        <v>0</v>
      </c>
      <c s="324" r="AM26"/>
      <c s="338" r="AN26" t="n">
        <f>SUM(AN27,AN32)</f>
        <v>0</v>
      </c>
      <c s="361" r="AO26" t="n">
        <f>IF(AN$16=0,0,-AN26/AN$16)</f>
        <v>0</v>
      </c>
      <c s="339" r="AP26"/>
      <c s="338" r="AQ26" t="n">
        <f>SUM(AQ27,AQ32)</f>
        <v>0</v>
      </c>
      <c s="361" r="AR26" t="n">
        <f>IF(AQ$16=0,0,-AQ26/AQ$16)</f>
        <v>0</v>
      </c>
      <c s="339" r="AS26"/>
      <c s="338" r="AT26" t="n">
        <f>SUM(AT27,AT32)</f>
        <v>0</v>
      </c>
      <c s="361" r="AU26" t="n">
        <f>IF(AT$16=0,0,-AT26/AT$16)</f>
        <v>0</v>
      </c>
      <c s="339" r="AV26"/>
      <c s="338" r="AW26" t="n">
        <f>SUM(AW27,AW32)</f>
        <v>0</v>
      </c>
      <c s="361" r="AX26" t="n">
        <f>IF(AW$16=0,0,-AW26/AW$16)</f>
        <v>0</v>
      </c>
      <c s="339" r="AY26"/>
      <c s="338" r="AZ26" t="n">
        <f>SUM(AZ27,AZ32)</f>
        <v>0</v>
      </c>
      <c s="361" r="BA26" t="n">
        <f>IF(AZ$16=0,0,-AZ26/AZ$16)</f>
        <v>0</v>
      </c>
      <c s="324" r="BB26"/>
      <c s="339" r="BC26" t="n">
        <f>IF(BC$6=0,0,(AN26*AN$6+AQ26*AQ$6+AT26*AT$6+AW26*AW$6+AZ26*AZ$6)/BC$6)</f>
        <v>0</v>
      </c>
      <c s="361" r="BD26" t="n">
        <f>IF(BC$16=0,0,-BC26/BC$16)</f>
        <v>0</v>
      </c>
      <c s="324" r="BE26"/>
      <c s="338" r="BF26" t="n">
        <f>SUM(BF27,BF32)</f>
        <v>0</v>
      </c>
      <c s="361" r="BG26" t="n">
        <f>IF(BF$16=0,0,-BF26/BF$16)</f>
        <v>0</v>
      </c>
      <c s="339" r="BH26"/>
      <c s="338" r="BI26" t="n">
        <f>SUM(BI27,BI32)</f>
        <v>0</v>
      </c>
      <c s="361" r="BJ26" t="n">
        <f>IF(BI$16=0,0,-BI26/BI$16)</f>
        <v>0</v>
      </c>
      <c s="339" r="BK26"/>
      <c s="338" r="BL26" t="n">
        <f>SUM(BL27,BL32)</f>
        <v>0</v>
      </c>
      <c s="361" r="BM26" t="n">
        <f>IF(BL$16=0,0,-BL26/BL$16)</f>
        <v>0</v>
      </c>
      <c s="339" r="BN26"/>
      <c s="338" r="BO26" t="n">
        <f>SUM(BO27,BO32)</f>
        <v>0</v>
      </c>
      <c s="361" r="BP26" t="n">
        <f>IF(BO$16=0,0,-BO26/BO$16)</f>
        <v>0</v>
      </c>
      <c s="339" r="BQ26"/>
      <c s="338" r="BR26" t="n">
        <f>SUM(BR27,BR32)</f>
        <v>0</v>
      </c>
      <c s="361" r="BS26" t="n">
        <f>IF(BR$16=0,0,-BR26/BR$16)</f>
        <v>0</v>
      </c>
      <c s="324" r="BT26"/>
      <c s="339" r="BU26" t="n">
        <f>IF(BU$6=0,0,(BF26*BF$6+BI26*BI$6+BL26*BL$6+BO26*BO$6+BR26*BR$6)/BU$6)</f>
        <v>0</v>
      </c>
      <c s="361" r="BV26" t="n">
        <f>IF(BU$16=0,0,-BU26/BU$16)</f>
        <v>0</v>
      </c>
      <c s="324" r="BW26"/>
      <c s="338" r="BX26" t="n">
        <f>SUM(BX27,BX32)</f>
        <v>0</v>
      </c>
      <c s="361" r="BY26" t="n">
        <f>IF(BX$16=0,0,-BX26/BX$16)</f>
        <v>0</v>
      </c>
      <c s="339" r="BZ26"/>
      <c s="338" r="CA26" t="n">
        <f>SUM(CA27,CA32)</f>
        <v>0</v>
      </c>
      <c s="361" r="CB26" t="n">
        <f>IF(CA$16=0,0,-CA26/CA$16)</f>
        <v>0</v>
      </c>
      <c s="339" r="CC26"/>
      <c s="338" r="CD26" t="n">
        <f>SUM(CD27,CD32)</f>
        <v>0</v>
      </c>
      <c s="361" r="CE26" t="n">
        <f>IF(CD$16=0,0,-CD26/CD$16)</f>
        <v>0</v>
      </c>
      <c s="339" r="CF26"/>
      <c s="338" r="CG26" t="n">
        <f>SUM(CG27,CG32)</f>
        <v>0</v>
      </c>
      <c s="361" r="CH26" t="n">
        <f>IF(CG$16=0,0,-CG26/CG$16)</f>
        <v>0</v>
      </c>
      <c s="339" r="CI26"/>
      <c s="338" r="CJ26" t="n">
        <f>SUM(CJ27,CJ32)</f>
        <v>0</v>
      </c>
      <c s="361" r="CK26" t="n">
        <f>IF(CJ$16=0,0,-CJ26/CJ$16)</f>
        <v>0</v>
      </c>
      <c s="324" r="CL26"/>
      <c s="339" r="CM26" t="n">
        <f>IF(CM$6=0,0,(BX26*BX$6+CA26*CA$6+CD26*CD$6+CG26*CG$6+CJ26*CJ$6)/CM$6)</f>
        <v>0</v>
      </c>
      <c s="361" r="CN26" t="n">
        <f>IF(CM$16=0,0,-CM26/CM$16)</f>
        <v>0</v>
      </c>
      <c s="325" r="CO26"/>
      <c s="339" r="CP26" t="n">
        <f>IF(CP$6=0,0,(D26*D$6+V26*V$6+AN26*AN$6+BF26*BF$6+BX26*BX$6)/CP$6)</f>
        <v>0</v>
      </c>
      <c s="361" r="CQ26" t="n">
        <f>IF(CP$16=0,0,-CP26/CP$16)</f>
        <v>0</v>
      </c>
      <c s="339" r="CR26"/>
      <c s="339" r="CS26" t="n">
        <f>IF(CS$6=0,0,(G26*G$6+Y26*Y$6+AQ26*AQ$6+BI26*BI$6+CA26*CA$6)/CS$6)</f>
        <v>0</v>
      </c>
      <c s="361" r="CT26" t="n">
        <f>IF(CS$16=0,0,-CS26/CS$16)</f>
        <v>0</v>
      </c>
      <c s="339" r="CU26"/>
      <c s="339" r="CV26" t="n">
        <f>IF(CV$6=0,0,(J26*J$6+AB26*AB$6+AT26*AT$6+BL26*BL$6+CD26*CD$6)/CV$6)</f>
        <v>0</v>
      </c>
      <c s="361" r="CW26" t="n">
        <f>IF(CV$16=0,0,-CV26/CV$16)</f>
        <v>0</v>
      </c>
      <c s="339" r="CX26"/>
      <c s="339" r="CY26" t="n">
        <f>IF(CY$6=0,0,(M26*M$6+AE26*AE$6+AW26*AW$6+BO26*BO$6+CG26*CG$6)/CY$6)</f>
        <v>0</v>
      </c>
      <c s="361" r="CZ26" t="n">
        <f>IF(CY$16=0,0,-CY26/CY$16)</f>
        <v>0</v>
      </c>
      <c s="339" r="DA26"/>
      <c s="339" r="DB26" t="n">
        <f>IF(DB$6=0,0,(P26*P$6+AH26*AH$6+AZ26*AZ$6+BR26*BR$6+CJ26*CJ$6)/DB$6)</f>
        <v>0</v>
      </c>
      <c s="361" r="DC26" t="n">
        <f>IF(DB$16=0,0,-DB26/DB$16)</f>
        <v>0</v>
      </c>
      <c s="339" r="DD26"/>
      <c s="339" r="DE26" t="n">
        <f>IF(DE$6=0,0,(S26*S$6+AK26*AK$6+BC26*BC$6+BU26*BU$6+CM26*CM$6)/DE$6)</f>
        <v>0</v>
      </c>
      <c s="342" r="DF26" t="n">
        <f>IF(DE$16=0,0,-DE26/DE$16)</f>
        <v>0</v>
      </c>
      <c s="364" r="DG26"/>
    </row>
    <row r="27" spans="1:111" ht="16.05" customHeight="1" outlineLevel="1">
      <c s="402" r="A27"/>
      <c s="322" r="B27" t="str">
        <v>         固定费用</v>
      </c>
      <c s="336" r="C27"/>
      <c s="338" r="D27" t="n">
        <f>SUM(D28:D31)</f>
        <v>0</v>
      </c>
      <c s="361" r="E27" t="n">
        <f>IF(D$16=0,0,-D27/D$16)</f>
        <v>0</v>
      </c>
      <c s="339" r="F27"/>
      <c s="338" r="G27" t="n">
        <f>SUM(G28:G31)</f>
        <v>0</v>
      </c>
      <c s="361" r="H27" t="n">
        <f>IF(G$16=0,0,-G27/G$16)</f>
        <v>0</v>
      </c>
      <c s="339" r="I27"/>
      <c s="338" r="J27" t="n">
        <f>SUM(J28:J31)</f>
        <v>0</v>
      </c>
      <c s="361" r="K27" t="n">
        <f>IF(J$16=0,0,-J27/J$16)</f>
        <v>0</v>
      </c>
      <c s="339" r="L27"/>
      <c s="338" r="M27" t="n">
        <f>SUM(M28:M31)</f>
        <v>0</v>
      </c>
      <c s="361" r="N27" t="n">
        <f>IF(M$16=0,0,-M27/M$16)</f>
        <v>0</v>
      </c>
      <c s="339" r="O27"/>
      <c s="338" r="P27" t="n">
        <f>SUM(P28:P31)</f>
        <v>0</v>
      </c>
      <c s="361" r="Q27" t="n">
        <f>IF(P$16=0,0,-P27/P$16)</f>
        <v>0</v>
      </c>
      <c s="324" r="R27"/>
      <c s="338" r="S27" t="n">
        <f>IF(S$6=0,0,(D27*D$6+G27*G$6+J27*J$6+M27*M$6+P27*P$6)/S$6)</f>
        <v>0</v>
      </c>
      <c s="361" r="T27" t="n">
        <f>IF(S$16=0,0,-S27/S$16)</f>
        <v>0</v>
      </c>
      <c s="324" r="U27"/>
      <c s="338" r="V27" t="n">
        <f>SUM(V28:V31)</f>
        <v>0</v>
      </c>
      <c s="361" r="W27" t="n">
        <f>IF(V$16=0,0,-V27/V$16)</f>
        <v>0</v>
      </c>
      <c s="339" r="X27"/>
      <c s="338" r="Y27" t="n">
        <f>SUM(Y28:Y31)</f>
        <v>0</v>
      </c>
      <c s="361" r="Z27" t="n">
        <f>IF(Y$16=0,0,-Y27/Y$16)</f>
        <v>0</v>
      </c>
      <c s="339" r="AA27"/>
      <c s="338" r="AB27" t="n">
        <f>SUM(AB28:AB31)</f>
        <v>0</v>
      </c>
      <c s="361" r="AC27" t="n">
        <f>IF(AB$16=0,0,-AB27/AB$16)</f>
        <v>0</v>
      </c>
      <c s="339" r="AD27"/>
      <c s="338" r="AE27" t="n">
        <f>SUM(AE28:AE31)</f>
        <v>0</v>
      </c>
      <c s="361" r="AF27" t="n">
        <f>IF(AE$16=0,0,-AE27/AE$16)</f>
        <v>0</v>
      </c>
      <c s="339" r="AG27"/>
      <c s="338" r="AH27" t="n">
        <f>SUM(AH28:AH31)</f>
        <v>0</v>
      </c>
      <c s="361" r="AI27" t="n">
        <f>IF(AH$16=0,0,-AH27/AH$16)</f>
        <v>0</v>
      </c>
      <c s="324" r="AJ27"/>
      <c s="338" r="AK27" t="n">
        <f>IF(AK$6=0,0,(V27*V$6+Y27*Y$6+AB27*AB$6+AE27*AE$6+AH27*AH$6)/AK$6)</f>
        <v>0</v>
      </c>
      <c s="361" r="AL27" t="n">
        <f>IF(AK$16=0,0,-AK27/AK$16)</f>
        <v>0</v>
      </c>
      <c s="324" r="AM27"/>
      <c s="338" r="AN27" t="n">
        <f>SUM(AN28:AN31)</f>
        <v>0</v>
      </c>
      <c s="361" r="AO27" t="n">
        <f>IF(AN$16=0,0,-AN27/AN$16)</f>
        <v>0</v>
      </c>
      <c s="339" r="AP27"/>
      <c s="338" r="AQ27" t="n">
        <f>SUM(AQ28:AQ31)</f>
        <v>0</v>
      </c>
      <c s="361" r="AR27" t="n">
        <f>IF(AQ$16=0,0,-AQ27/AQ$16)</f>
        <v>0</v>
      </c>
      <c s="339" r="AS27"/>
      <c s="338" r="AT27" t="n">
        <f>SUM(AT28:AT31)</f>
        <v>0</v>
      </c>
      <c s="361" r="AU27" t="n">
        <f>IF(AT$16=0,0,-AT27/AT$16)</f>
        <v>0</v>
      </c>
      <c s="339" r="AV27"/>
      <c s="338" r="AW27" t="n">
        <f>SUM(AW28:AW31)</f>
        <v>0</v>
      </c>
      <c s="361" r="AX27" t="n">
        <f>IF(AW$16=0,0,-AW27/AW$16)</f>
        <v>0</v>
      </c>
      <c s="339" r="AY27"/>
      <c s="338" r="AZ27" t="n">
        <f>SUM(AZ28:AZ31)</f>
        <v>0</v>
      </c>
      <c s="361" r="BA27" t="n">
        <f>IF(AZ$16=0,0,-AZ27/AZ$16)</f>
        <v>0</v>
      </c>
      <c s="324" r="BB27"/>
      <c s="338" r="BC27" t="n">
        <f>IF(BC$6=0,0,(AN27*AN$6+AQ27*AQ$6+AT27*AT$6+AW27*AW$6+AZ27*AZ$6)/BC$6)</f>
        <v>0</v>
      </c>
      <c s="361" r="BD27" t="n">
        <f>IF(BC$16=0,0,-BC27/BC$16)</f>
        <v>0</v>
      </c>
      <c s="324" r="BE27"/>
      <c s="338" r="BF27" t="n">
        <f>SUM(BF28:BF31)</f>
        <v>0</v>
      </c>
      <c s="361" r="BG27" t="n">
        <f>IF(BF$16=0,0,-BF27/BF$16)</f>
        <v>0</v>
      </c>
      <c s="339" r="BH27"/>
      <c s="338" r="BI27" t="n">
        <f>SUM(BI28:BI31)</f>
        <v>0</v>
      </c>
      <c s="361" r="BJ27" t="n">
        <f>IF(BI$16=0,0,-BI27/BI$16)</f>
        <v>0</v>
      </c>
      <c s="339" r="BK27"/>
      <c s="338" r="BL27" t="n">
        <f>SUM(BL28:BL31)</f>
        <v>0</v>
      </c>
      <c s="361" r="BM27" t="n">
        <f>IF(BL$16=0,0,-BL27/BL$16)</f>
        <v>0</v>
      </c>
      <c s="339" r="BN27"/>
      <c s="338" r="BO27" t="n">
        <f>SUM(BO28:BO31)</f>
        <v>0</v>
      </c>
      <c s="361" r="BP27" t="n">
        <f>IF(BO$16=0,0,-BO27/BO$16)</f>
        <v>0</v>
      </c>
      <c s="339" r="BQ27"/>
      <c s="338" r="BR27" t="n">
        <f>SUM(BR28:BR31)</f>
        <v>0</v>
      </c>
      <c s="361" r="BS27" t="n">
        <f>IF(BR$16=0,0,-BR27/BR$16)</f>
        <v>0</v>
      </c>
      <c s="324" r="BT27"/>
      <c s="338" r="BU27" t="n">
        <f>IF(BU$6=0,0,(BF27*BF$6+BI27*BI$6+BL27*BL$6+BO27*BO$6+BR27*BR$6)/BU$6)</f>
        <v>0</v>
      </c>
      <c s="372" r="BV27" t="n">
        <f>IF(BU$16=0,0,-BU27/BU$16)</f>
        <v>0</v>
      </c>
      <c s="324" r="BW27"/>
      <c s="338" r="BX27" t="n">
        <f>SUM(BX28:BX31)</f>
        <v>0</v>
      </c>
      <c s="361" r="BY27" t="n">
        <f>IF(BX$16=0,0,-BX27/BX$16)</f>
        <v>0</v>
      </c>
      <c s="339" r="BZ27"/>
      <c s="338" r="CA27" t="n">
        <f>SUM(CA28:CA31)</f>
        <v>0</v>
      </c>
      <c s="361" r="CB27" t="n">
        <f>IF(CA$16=0,0,-CA27/CA$16)</f>
        <v>0</v>
      </c>
      <c s="339" r="CC27"/>
      <c s="338" r="CD27" t="n">
        <f>SUM(CD28:CD31)</f>
        <v>0</v>
      </c>
      <c s="361" r="CE27" t="n">
        <f>IF(CD$16=0,0,-CD27/CD$16)</f>
        <v>0</v>
      </c>
      <c s="339" r="CF27"/>
      <c s="338" r="CG27" t="n">
        <f>SUM(CG28:CG31)</f>
        <v>0</v>
      </c>
      <c s="361" r="CH27" t="n">
        <f>IF(CG$16=0,0,-CG27/CG$16)</f>
        <v>0</v>
      </c>
      <c s="339" r="CI27"/>
      <c s="338" r="CJ27" t="n">
        <f>SUM(CJ28:CJ31)</f>
        <v>0</v>
      </c>
      <c s="361" r="CK27" t="n">
        <f>IF(CJ$16=0,0,-CJ27/CJ$16)</f>
        <v>0</v>
      </c>
      <c s="324" r="CL27"/>
      <c s="338" r="CM27" t="n">
        <f>IF(CM$6=0,0,(BX27*BX$6+CA27*CA$6+CD27*CD$6+CG27*CG$6+CJ27*CJ$6)/CM$6)</f>
        <v>0</v>
      </c>
      <c s="361" r="CN27" t="n">
        <f>IF(CM$16=0,0,-CM27/CM$16)</f>
        <v>0</v>
      </c>
      <c s="325" r="CO27"/>
      <c s="368" r="CP27" t="n">
        <f>IF(CP$6=0,0,(D27*D$6+V27*V$6+AN27*AN$6+BF27*BF$6+BX27*BX$6)/CP$6)</f>
        <v>0</v>
      </c>
      <c s="372" r="CQ27" t="n">
        <f>IF(CP$16=0,0,-CP27/CP$16)</f>
        <v>0</v>
      </c>
      <c s="379" r="CR27"/>
      <c s="368" r="CS27" t="n">
        <f>IF(CS$6=0,0,(G27*G$6+Y27*Y$6+AQ27*AQ$6+BI27*BI$6+CA27*CA$6)/CS$6)</f>
        <v>0</v>
      </c>
      <c s="372" r="CT27" t="n">
        <f>IF(CS$16=0,0,-CS27/CS$16)</f>
        <v>0</v>
      </c>
      <c s="368" r="CU27"/>
      <c s="368" r="CV27" t="n">
        <f>IF(CV$6=0,0,(J27*J$6+AB27*AB$6+AT27*AT$6+BL27*BL$6+CD27*CD$6)/CV$6)</f>
        <v>0</v>
      </c>
      <c s="372" r="CW27" t="n">
        <f>IF(CV$16=0,0,-CV27/CV$16)</f>
        <v>0</v>
      </c>
      <c s="368" r="CX27"/>
      <c s="368" r="CY27" t="n">
        <f>IF(CY$6=0,0,(M27*M$6+AE27*AE$6+AW27*AW$6+BO27*BO$6+CG27*CG$6)/CY$6)</f>
        <v>0</v>
      </c>
      <c s="372" r="CZ27" t="n">
        <f>IF(CY$16=0,0,-CY27/CY$16)</f>
        <v>0</v>
      </c>
      <c s="368" r="DA27"/>
      <c s="368" r="DB27" t="n">
        <f>IF(DB$6=0,0,(P27*P$6+AH27*AH$6+AZ27*AZ$6+BR27*BR$6+CJ27*CJ$6)/DB$6)</f>
        <v>0</v>
      </c>
      <c s="372" r="DC27" t="n">
        <f>IF(DB$16=0,0,-DB27/DB$16)</f>
        <v>0</v>
      </c>
      <c s="339" r="DD27"/>
      <c s="339" r="DE27" t="n">
        <f>IF(DE$6=0,0,(S27*S$6+AK27*AK$6+BC27*BC$6+BU27*BU$6+CM27*CM$6)/DE$6)</f>
        <v>0</v>
      </c>
      <c s="342" r="DF27" t="n">
        <f>IF(DE$16=0,0,-DE27/DE$16)</f>
        <v>0</v>
      </c>
      <c s="364" r="DG27"/>
    </row>
    <row r="28" spans="1:111" ht="16.05" customHeight="1" outlineLevel="1">
      <c s="402" r="A28"/>
      <c s="391" r="B28" t="str">
        <v>             -人工成本-固定</v>
      </c>
      <c s="336" r="C28"/>
      <c s="404" r="D28"/>
      <c s="394" r="E28" t="n">
        <f>IF(D$16=0,0,-D28/D$16)</f>
        <v>0</v>
      </c>
      <c s="339" r="F28"/>
      <c s="404" r="G28"/>
      <c s="394" r="H28" t="n">
        <f>IF(G$16=0,0,-G28/G$16)</f>
        <v>0</v>
      </c>
      <c s="339" r="I28"/>
      <c s="404" r="J28"/>
      <c s="394" r="K28" t="n">
        <f>IF(J$16=0,0,-J28/J$16)</f>
        <v>0</v>
      </c>
      <c s="339" r="L28"/>
      <c s="404" r="M28"/>
      <c s="394" r="N28" t="n">
        <f>IF(M$16=0,0,-M28/M$16)</f>
        <v>0</v>
      </c>
      <c s="339" r="O28"/>
      <c s="404" r="P28"/>
      <c s="394" r="Q28" t="n">
        <f>IF(P$16=0,0,-P28/P$16)</f>
        <v>0</v>
      </c>
      <c s="324" r="R28"/>
      <c s="393" r="S28" t="n">
        <f>IF(S$6=0,0,(D28*D$6+G28*G$6+J28*J$6+M28*M$6+P28*P$6)/S$6)</f>
        <v>0</v>
      </c>
      <c s="394" r="T28" t="n">
        <f>IF(S$16=0,0,-S28/S$16)</f>
        <v>0</v>
      </c>
      <c s="324" r="U28"/>
      <c s="404" r="V28"/>
      <c s="394" r="W28" t="n">
        <f>IF(V$16=0,0,-V28/V$16)</f>
        <v>0</v>
      </c>
      <c s="339" r="X28"/>
      <c s="404" r="Y28"/>
      <c s="394" r="Z28" t="n">
        <f>IF(Y$16=0,0,-Y28/Y$16)</f>
        <v>0</v>
      </c>
      <c s="339" r="AA28"/>
      <c s="404" r="AB28"/>
      <c s="394" r="AC28" t="n">
        <f>IF(AB$16=0,0,-AB28/AB$16)</f>
        <v>0</v>
      </c>
      <c s="339" r="AD28"/>
      <c s="404" r="AE28"/>
      <c s="394" r="AF28" t="n">
        <f>IF(AE$16=0,0,-AE28/AE$16)</f>
        <v>0</v>
      </c>
      <c s="339" r="AG28"/>
      <c s="404" r="AH28"/>
      <c s="394" r="AI28" t="n">
        <f>IF(AH$16=0,0,-AH28/AH$16)</f>
        <v>0</v>
      </c>
      <c s="324" r="AJ28"/>
      <c s="393" r="AK28" t="n">
        <f>IF(AK$6=0,0,(V28*V$6+Y28*Y$6+AB28*AB$6+AE28*AE$6+AH28*AH$6)/AK$6)</f>
        <v>0</v>
      </c>
      <c s="394" r="AL28" t="n">
        <f>IF(AK$16=0,0,-AK28/AK$16)</f>
        <v>0</v>
      </c>
      <c s="324" r="AM28"/>
      <c s="404" r="AN28"/>
      <c s="394" r="AO28" t="n">
        <f>IF(AN$16=0,0,-AN28/AN$16)</f>
        <v>0</v>
      </c>
      <c s="339" r="AP28"/>
      <c s="404" r="AQ28"/>
      <c s="394" r="AR28" t="n">
        <f>IF(AQ$16=0,0,-AQ28/AQ$16)</f>
        <v>0</v>
      </c>
      <c s="339" r="AS28"/>
      <c s="404" r="AT28"/>
      <c s="394" r="AU28" t="n">
        <f>IF(AT$16=0,0,-AT28/AT$16)</f>
        <v>0</v>
      </c>
      <c s="339" r="AV28"/>
      <c s="404" r="AW28"/>
      <c s="394" r="AX28" t="n">
        <f>IF(AW$16=0,0,-AW28/AW$16)</f>
        <v>0</v>
      </c>
      <c s="339" r="AY28"/>
      <c s="404" r="AZ28"/>
      <c s="394" r="BA28" t="n">
        <f>IF(AZ$16=0,0,-AZ28/AZ$16)</f>
        <v>0</v>
      </c>
      <c s="324" r="BB28"/>
      <c s="393" r="BC28" t="n">
        <f>IF(BC$6=0,0,(AN28*AN$6+AQ28*AQ$6+AT28*AT$6+AW28*AW$6+AZ28*AZ$6)/BC$6)</f>
        <v>0</v>
      </c>
      <c s="394" r="BD28" t="n">
        <f>IF(BC$16=0,0,-BC28/BC$16)</f>
        <v>0</v>
      </c>
      <c s="324" r="BE28"/>
      <c s="404" r="BF28"/>
      <c s="394" r="BG28" t="n">
        <f>IF(BF$16=0,0,-BF28/BF$16)</f>
        <v>0</v>
      </c>
      <c s="339" r="BH28"/>
      <c s="404" r="BI28"/>
      <c s="394" r="BJ28" t="n">
        <f>IF(BI$16=0,0,-BI28/BI$16)</f>
        <v>0</v>
      </c>
      <c s="339" r="BK28"/>
      <c s="404" r="BL28"/>
      <c s="394" r="BM28" t="n">
        <f>IF(BL$16=0,0,-BL28/BL$16)</f>
        <v>0</v>
      </c>
      <c s="339" r="BN28"/>
      <c s="404" r="BO28"/>
      <c s="394" r="BP28" t="n">
        <f>IF(BO$16=0,0,-BO28/BO$16)</f>
        <v>0</v>
      </c>
      <c s="339" r="BQ28"/>
      <c s="404" r="BR28"/>
      <c s="394" r="BS28" t="n">
        <f>IF(BR$16=0,0,-BR28/BR$16)</f>
        <v>0</v>
      </c>
      <c s="324" r="BT28"/>
      <c s="393" r="BU28" t="n">
        <f>IF(BU$6=0,0,(BF28*BF$6+BI28*BI$6+BL28*BL$6+BO28*BO$6+BR28*BR$6)/BU$6)</f>
        <v>0</v>
      </c>
      <c s="398" r="BV28" t="n">
        <f>IF(BU$16=0,0,-BU28/BU$16)</f>
        <v>0</v>
      </c>
      <c s="324" r="BW28"/>
      <c s="404" r="BX28"/>
      <c s="394" r="BY28" t="n">
        <f>IF(BX$16=0,0,-BX28/BX$16)</f>
        <v>0</v>
      </c>
      <c s="339" r="BZ28"/>
      <c s="404" r="CA28"/>
      <c s="394" r="CB28" t="n">
        <f>IF(CA$16=0,0,-CA28/CA$16)</f>
        <v>0</v>
      </c>
      <c s="339" r="CC28"/>
      <c s="404" r="CD28"/>
      <c s="394" r="CE28" t="n">
        <f>IF(CD$16=0,0,-CD28/CD$16)</f>
        <v>0</v>
      </c>
      <c s="339" r="CF28"/>
      <c s="404" r="CG28"/>
      <c s="394" r="CH28" t="n">
        <f>IF(CG$16=0,0,-CG28/CG$16)</f>
        <v>0</v>
      </c>
      <c s="339" r="CI28"/>
      <c s="404" r="CJ28"/>
      <c s="394" r="CK28" t="n">
        <f>IF(CJ$16=0,0,-CJ28/CJ$16)</f>
        <v>0</v>
      </c>
      <c s="324" r="CL28"/>
      <c s="393" r="CM28" t="n">
        <f>IF(CM$6=0,0,(BX28*BX$6+CA28*CA$6+CD28*CD$6+CG28*CG$6+CJ28*CJ$6)/CM$6)</f>
        <v>0</v>
      </c>
      <c s="398" r="CN28" t="n">
        <f>IF(CM$16=0,0,-CM28/CM$16)</f>
        <v>0</v>
      </c>
      <c s="325" r="CO28"/>
      <c s="379" r="CP28" t="n">
        <f>IF(CP$6=0,0,(D28*D$6+V28*V$6+AN28*AN$6+BF28*BF$6+BX28*BX$6)/CP$6)</f>
        <v>0</v>
      </c>
      <c s="378" r="CQ28" t="n">
        <f>IF(CP$16=0,0,-CP28/CP$16)</f>
        <v>0</v>
      </c>
      <c s="379" r="CR28"/>
      <c s="379" r="CS28" t="n">
        <f>IF(CS$6=0,0,(G28*G$6+Y28*Y$6+AQ28*AQ$6+BI28*BI$6+CA28*CA$6)/CS$6)</f>
        <v>0</v>
      </c>
      <c s="378" r="CT28" t="n">
        <f>IF(CS$16=0,0,-CS28/CS$16)</f>
        <v>0</v>
      </c>
      <c s="379" r="CU28"/>
      <c s="379" r="CV28" t="n">
        <f>IF(CV$6=0,0,(J28*J$6+AB28*AB$6+AT28*AT$6+BL28*BL$6+CD28*CD$6)/CV$6)</f>
        <v>0</v>
      </c>
      <c s="378" r="CW28" t="n">
        <f>IF(CV$16=0,0,-CV28/CV$16)</f>
        <v>0</v>
      </c>
      <c s="379" r="CX28"/>
      <c s="379" r="CY28" t="n">
        <f>IF(CY$6=0,0,(M28*M$6+AE28*AE$6+AW28*AW$6+BO28*BO$6+CG28*CG$6)/CY$6)</f>
        <v>0</v>
      </c>
      <c s="378" r="CZ28" t="n">
        <f>IF(CY$16=0,0,-CY28/CY$16)</f>
        <v>0</v>
      </c>
      <c s="379" r="DA28"/>
      <c s="379" r="DB28" t="n">
        <f>IF(DB$6=0,0,(P28*P$6+AH28*AH$6+AZ28*AZ$6+BR28*BR$6+CJ28*CJ$6)/DB$6)</f>
        <v>0</v>
      </c>
      <c s="378" r="DC28" t="n">
        <f>IF(DB$16=0,0,-DB28/DB$16)</f>
        <v>0</v>
      </c>
      <c s="339" r="DD28"/>
      <c s="379" r="DE28" t="n">
        <f>IF(DE$6=0,0,(S28*S$6+AK28*AK$6+BC28*BC$6+BU28*BU$6+CM28*CM$6)/DE$6)</f>
        <v>0</v>
      </c>
      <c s="378" r="DF28" t="n">
        <f>IF(DE$16=0,0,-DE28/DE$16)</f>
        <v>0</v>
      </c>
      <c s="364" r="DG28"/>
    </row>
    <row r="29" spans="1:111" ht="16.05" customHeight="1" outlineLevel="1">
      <c s="402" r="A29"/>
      <c s="391" r="B29" t="str">
        <v>             -折旧摊销-固定</v>
      </c>
      <c s="336" r="C29"/>
      <c s="404" r="D29"/>
      <c s="394" r="E29" t="n">
        <f>IF(D$16=0,0,-D29/D$16)</f>
        <v>0</v>
      </c>
      <c s="339" r="F29"/>
      <c s="404" r="G29"/>
      <c s="394" r="H29" t="n">
        <f>IF(G$16=0,0,-G29/G$16)</f>
        <v>0</v>
      </c>
      <c s="339" r="I29"/>
      <c s="404" r="J29"/>
      <c s="394" r="K29" t="n">
        <f>IF(J$16=0,0,-J29/J$16)</f>
        <v>0</v>
      </c>
      <c s="339" r="L29"/>
      <c s="404" r="M29"/>
      <c s="394" r="N29" t="n">
        <f>IF(M$16=0,0,-M29/M$16)</f>
        <v>0</v>
      </c>
      <c s="339" r="O29"/>
      <c s="404" r="P29"/>
      <c s="394" r="Q29" t="n">
        <f>IF(P$16=0,0,-P29/P$16)</f>
        <v>0</v>
      </c>
      <c s="324" r="R29"/>
      <c s="393" r="S29" t="n">
        <f>IF(S$6=0,0,(D29*D$6+G29*G$6+J29*J$6+M29*M$6+P29*P$6)/S$6)</f>
        <v>0</v>
      </c>
      <c s="394" r="T29" t="n">
        <f>IF(S$16=0,0,-S29/S$16)</f>
        <v>0</v>
      </c>
      <c s="324" r="U29"/>
      <c s="404" r="V29"/>
      <c s="394" r="W29" t="n">
        <f>IF(V$16=0,0,-V29/V$16)</f>
        <v>0</v>
      </c>
      <c s="339" r="X29"/>
      <c s="404" r="Y29"/>
      <c s="394" r="Z29" t="n">
        <f>IF(Y$16=0,0,-Y29/Y$16)</f>
        <v>0</v>
      </c>
      <c s="339" r="AA29"/>
      <c s="404" r="AB29"/>
      <c s="394" r="AC29" t="n">
        <f>IF(AB$16=0,0,-AB29/AB$16)</f>
        <v>0</v>
      </c>
      <c s="339" r="AD29"/>
      <c s="404" r="AE29"/>
      <c s="394" r="AF29" t="n">
        <f>IF(AE$16=0,0,-AE29/AE$16)</f>
        <v>0</v>
      </c>
      <c s="339" r="AG29"/>
      <c s="404" r="AH29"/>
      <c s="394" r="AI29" t="n">
        <f>IF(AH$16=0,0,-AH29/AH$16)</f>
        <v>0</v>
      </c>
      <c s="324" r="AJ29"/>
      <c s="393" r="AK29" t="n">
        <f>IF(AK$6=0,0,(V29*V$6+Y29*Y$6+AB29*AB$6+AE29*AE$6+AH29*AH$6)/AK$6)</f>
        <v>0</v>
      </c>
      <c s="394" r="AL29" t="n">
        <f>IF(AK$16=0,0,-AK29/AK$16)</f>
        <v>0</v>
      </c>
      <c s="324" r="AM29"/>
      <c s="404" r="AN29"/>
      <c s="394" r="AO29" t="n">
        <f>IF(AN$16=0,0,-AN29/AN$16)</f>
        <v>0</v>
      </c>
      <c s="339" r="AP29"/>
      <c s="404" r="AQ29"/>
      <c s="394" r="AR29" t="n">
        <f>IF(AQ$16=0,0,-AQ29/AQ$16)</f>
        <v>0</v>
      </c>
      <c s="339" r="AS29"/>
      <c s="404" r="AT29"/>
      <c s="394" r="AU29" t="n">
        <f>IF(AT$16=0,0,-AT29/AT$16)</f>
        <v>0</v>
      </c>
      <c s="339" r="AV29"/>
      <c s="404" r="AW29"/>
      <c s="394" r="AX29" t="n">
        <f>IF(AW$16=0,0,-AW29/AW$16)</f>
        <v>0</v>
      </c>
      <c s="339" r="AY29"/>
      <c s="404" r="AZ29"/>
      <c s="394" r="BA29" t="n">
        <f>IF(AZ$16=0,0,-AZ29/AZ$16)</f>
        <v>0</v>
      </c>
      <c s="324" r="BB29"/>
      <c s="393" r="BC29" t="n">
        <f>IF(BC$6=0,0,(AN29*AN$6+AQ29*AQ$6+AT29*AT$6+AW29*AW$6+AZ29*AZ$6)/BC$6)</f>
        <v>0</v>
      </c>
      <c s="394" r="BD29" t="n">
        <f>IF(BC$16=0,0,-BC29/BC$16)</f>
        <v>0</v>
      </c>
      <c s="324" r="BE29"/>
      <c s="404" r="BF29"/>
      <c s="394" r="BG29" t="n">
        <f>IF(BF$16=0,0,-BF29/BF$16)</f>
        <v>0</v>
      </c>
      <c s="339" r="BH29"/>
      <c s="404" r="BI29"/>
      <c s="394" r="BJ29" t="n">
        <f>IF(BI$16=0,0,-BI29/BI$16)</f>
        <v>0</v>
      </c>
      <c s="339" r="BK29"/>
      <c s="404" r="BL29"/>
      <c s="394" r="BM29" t="n">
        <f>IF(BL$16=0,0,-BL29/BL$16)</f>
        <v>0</v>
      </c>
      <c s="339" r="BN29"/>
      <c s="404" r="BO29"/>
      <c s="394" r="BP29" t="n">
        <f>IF(BO$16=0,0,-BO29/BO$16)</f>
        <v>0</v>
      </c>
      <c s="339" r="BQ29"/>
      <c s="404" r="BR29"/>
      <c s="394" r="BS29" t="n">
        <f>IF(BR$16=0,0,-BR29/BR$16)</f>
        <v>0</v>
      </c>
      <c s="324" r="BT29"/>
      <c s="393" r="BU29" t="n">
        <f>IF(BU$6=0,0,(BF29*BF$6+BI29*BI$6+BL29*BL$6+BO29*BO$6+BR29*BR$6)/BU$6)</f>
        <v>0</v>
      </c>
      <c s="398" r="BV29" t="n">
        <f>IF(BU$16=0,0,-BU29/BU$16)</f>
        <v>0</v>
      </c>
      <c s="324" r="BW29"/>
      <c s="404" r="BX29"/>
      <c s="394" r="BY29" t="n">
        <f>IF(BX$16=0,0,-BX29/BX$16)</f>
        <v>0</v>
      </c>
      <c s="339" r="BZ29"/>
      <c s="404" r="CA29"/>
      <c s="394" r="CB29" t="n">
        <f>IF(CA$16=0,0,-CA29/CA$16)</f>
        <v>0</v>
      </c>
      <c s="339" r="CC29"/>
      <c s="404" r="CD29"/>
      <c s="394" r="CE29" t="n">
        <f>IF(CD$16=0,0,-CD29/CD$16)</f>
        <v>0</v>
      </c>
      <c s="339" r="CF29"/>
      <c s="404" r="CG29"/>
      <c s="394" r="CH29" t="n">
        <f>IF(CG$16=0,0,-CG29/CG$16)</f>
        <v>0</v>
      </c>
      <c s="339" r="CI29"/>
      <c s="404" r="CJ29"/>
      <c s="394" r="CK29" t="n">
        <f>IF(CJ$16=0,0,-CJ29/CJ$16)</f>
        <v>0</v>
      </c>
      <c s="324" r="CL29"/>
      <c s="393" r="CM29" t="n">
        <f>IF(CM$6=0,0,(BX29*BX$6+CA29*CA$6+CD29*CD$6+CG29*CG$6+CJ29*CJ$6)/CM$6)</f>
        <v>0</v>
      </c>
      <c s="398" r="CN29" t="n">
        <f>IF(CM$16=0,0,-CM29/CM$16)</f>
        <v>0</v>
      </c>
      <c s="325" r="CO29"/>
      <c s="379" r="CP29" t="n">
        <f>IF(CP$6=0,0,(D29*D$6+V29*V$6+AN29*AN$6+BF29*BF$6+BX29*BX$6)/CP$6)</f>
        <v>0</v>
      </c>
      <c s="378" r="CQ29" t="n">
        <f>IF(CP$16=0,0,-CP29/CP$16)</f>
        <v>0</v>
      </c>
      <c s="379" r="CR29"/>
      <c s="379" r="CS29" t="n">
        <f>IF(CS$6=0,0,(G29*G$6+Y29*Y$6+AQ29*AQ$6+BI29*BI$6+CA29*CA$6)/CS$6)</f>
        <v>0</v>
      </c>
      <c s="378" r="CT29" t="n">
        <f>IF(CS$16=0,0,-CS29/CS$16)</f>
        <v>0</v>
      </c>
      <c s="379" r="CU29"/>
      <c s="379" r="CV29" t="n">
        <f>IF(CV$6=0,0,(J29*J$6+AB29*AB$6+AT29*AT$6+BL29*BL$6+CD29*CD$6)/CV$6)</f>
        <v>0</v>
      </c>
      <c s="378" r="CW29" t="n">
        <f>IF(CV$16=0,0,-CV29/CV$16)</f>
        <v>0</v>
      </c>
      <c s="379" r="CX29"/>
      <c s="379" r="CY29" t="n">
        <f>IF(CY$6=0,0,(M29*M$6+AE29*AE$6+AW29*AW$6+BO29*BO$6+CG29*CG$6)/CY$6)</f>
        <v>0</v>
      </c>
      <c s="378" r="CZ29" t="n">
        <f>IF(CY$16=0,0,-CY29/CY$16)</f>
        <v>0</v>
      </c>
      <c s="379" r="DA29"/>
      <c s="379" r="DB29" t="n">
        <f>IF(DB$6=0,0,(P29*P$6+AH29*AH$6+AZ29*AZ$6+BR29*BR$6+CJ29*CJ$6)/DB$6)</f>
        <v>0</v>
      </c>
      <c s="378" r="DC29" t="n">
        <f>IF(DB$16=0,0,-DB29/DB$16)</f>
        <v>0</v>
      </c>
      <c s="339" r="DD29"/>
      <c s="379" r="DE29" t="n">
        <f>IF(DE$6=0,0,(S29*S$6+AK29*AK$6+BC29*BC$6+BU29*BU$6+CM29*CM$6)/DE$6)</f>
        <v>0</v>
      </c>
      <c s="378" r="DF29" t="n">
        <f>IF(DE$16=0,0,-DE29/DE$16)</f>
        <v>0</v>
      </c>
      <c s="364" r="DG29"/>
    </row>
    <row r="30" spans="1:111" ht="16.05" customHeight="1" outlineLevel="1">
      <c s="402" r="A30"/>
      <c s="391" r="B30" t="str">
        <v>             -行政费用</v>
      </c>
      <c s="336" r="C30"/>
      <c s="404" r="D30"/>
      <c s="394" r="E30" t="n">
        <f>IF(D$16=0,0,-D30/D$16)</f>
        <v>0</v>
      </c>
      <c s="339" r="F30"/>
      <c s="404" r="G30"/>
      <c s="394" r="H30" t="n">
        <f>IF(G$16=0,0,-G30/G$16)</f>
        <v>0</v>
      </c>
      <c s="339" r="I30"/>
      <c s="404" r="J30"/>
      <c s="394" r="K30" t="n">
        <f>IF(J$16=0,0,-J30/J$16)</f>
        <v>0</v>
      </c>
      <c s="339" r="L30"/>
      <c s="404" r="M30"/>
      <c s="394" r="N30" t="n">
        <f>IF(M$16=0,0,-M30/M$16)</f>
        <v>0</v>
      </c>
      <c s="339" r="O30"/>
      <c s="404" r="P30"/>
      <c s="394" r="Q30" t="n">
        <f>IF(P$16=0,0,-P30/P$16)</f>
        <v>0</v>
      </c>
      <c s="324" r="R30"/>
      <c s="393" r="S30" t="n">
        <f>IF(S$6=0,0,(D30*D$6+G30*G$6+J30*J$6+M30*M$6+P30*P$6)/S$6)</f>
        <v>0</v>
      </c>
      <c s="394" r="T30" t="n">
        <f>IF(S$16=0,0,-S30/S$16)</f>
        <v>0</v>
      </c>
      <c s="324" r="U30"/>
      <c s="404" r="V30"/>
      <c s="394" r="W30" t="n">
        <f>IF(V$16=0,0,-V30/V$16)</f>
        <v>0</v>
      </c>
      <c s="339" r="X30"/>
      <c s="404" r="Y30"/>
      <c s="394" r="Z30" t="n">
        <f>IF(Y$16=0,0,-Y30/Y$16)</f>
        <v>0</v>
      </c>
      <c s="339" r="AA30"/>
      <c s="404" r="AB30"/>
      <c s="394" r="AC30" t="n">
        <f>IF(AB$16=0,0,-AB30/AB$16)</f>
        <v>0</v>
      </c>
      <c s="339" r="AD30"/>
      <c s="404" r="AE30"/>
      <c s="394" r="AF30" t="n">
        <f>IF(AE$16=0,0,-AE30/AE$16)</f>
        <v>0</v>
      </c>
      <c s="339" r="AG30"/>
      <c s="404" r="AH30"/>
      <c s="394" r="AI30" t="n">
        <f>IF(AH$16=0,0,-AH30/AH$16)</f>
        <v>0</v>
      </c>
      <c s="324" r="AJ30"/>
      <c s="393" r="AK30" t="n">
        <f>IF(AK$6=0,0,(V30*V$6+Y30*Y$6+AB30*AB$6+AE30*AE$6+AH30*AH$6)/AK$6)</f>
        <v>0</v>
      </c>
      <c s="394" r="AL30" t="n">
        <f>IF(AK$16=0,0,-AK30/AK$16)</f>
        <v>0</v>
      </c>
      <c s="324" r="AM30"/>
      <c s="404" r="AN30"/>
      <c s="394" r="AO30" t="n">
        <f>IF(AN$16=0,0,-AN30/AN$16)</f>
        <v>0</v>
      </c>
      <c s="339" r="AP30"/>
      <c s="404" r="AQ30"/>
      <c s="394" r="AR30" t="n">
        <f>IF(AQ$16=0,0,-AQ30/AQ$16)</f>
        <v>0</v>
      </c>
      <c s="339" r="AS30"/>
      <c s="404" r="AT30"/>
      <c s="394" r="AU30" t="n">
        <f>IF(AT$16=0,0,-AT30/AT$16)</f>
        <v>0</v>
      </c>
      <c s="339" r="AV30"/>
      <c s="404" r="AW30"/>
      <c s="394" r="AX30" t="n">
        <f>IF(AW$16=0,0,-AW30/AW$16)</f>
        <v>0</v>
      </c>
      <c s="339" r="AY30"/>
      <c s="404" r="AZ30"/>
      <c s="394" r="BA30" t="n">
        <f>IF(AZ$16=0,0,-AZ30/AZ$16)</f>
        <v>0</v>
      </c>
      <c s="324" r="BB30"/>
      <c s="393" r="BC30" t="n">
        <f>IF(BC$6=0,0,(AN30*AN$6+AQ30*AQ$6+AT30*AT$6+AW30*AW$6+AZ30*AZ$6)/BC$6)</f>
        <v>0</v>
      </c>
      <c s="394" r="BD30" t="n">
        <f>IF(BC$16=0,0,-BC30/BC$16)</f>
        <v>0</v>
      </c>
      <c s="324" r="BE30"/>
      <c s="404" r="BF30"/>
      <c s="394" r="BG30" t="n">
        <f>IF(BF$16=0,0,-BF30/BF$16)</f>
        <v>0</v>
      </c>
      <c s="339" r="BH30"/>
      <c s="404" r="BI30"/>
      <c s="394" r="BJ30" t="n">
        <f>IF(BI$16=0,0,-BI30/BI$16)</f>
        <v>0</v>
      </c>
      <c s="339" r="BK30"/>
      <c s="404" r="BL30"/>
      <c s="394" r="BM30" t="n">
        <f>IF(BL$16=0,0,-BL30/BL$16)</f>
        <v>0</v>
      </c>
      <c s="339" r="BN30"/>
      <c s="404" r="BO30"/>
      <c s="394" r="BP30" t="n">
        <f>IF(BO$16=0,0,-BO30/BO$16)</f>
        <v>0</v>
      </c>
      <c s="339" r="BQ30"/>
      <c s="404" r="BR30"/>
      <c s="394" r="BS30" t="n">
        <f>IF(BR$16=0,0,-BR30/BR$16)</f>
        <v>0</v>
      </c>
      <c s="324" r="BT30"/>
      <c s="393" r="BU30" t="n">
        <f>IF(BU$6=0,0,(BF30*BF$6+BI30*BI$6+BL30*BL$6+BO30*BO$6+BR30*BR$6)/BU$6)</f>
        <v>0</v>
      </c>
      <c s="398" r="BV30" t="n">
        <f>IF(BU$16=0,0,-BU30/BU$16)</f>
        <v>0</v>
      </c>
      <c s="324" r="BW30"/>
      <c s="404" r="BX30"/>
      <c s="394" r="BY30" t="n">
        <f>IF(BX$16=0,0,-BX30/BX$16)</f>
        <v>0</v>
      </c>
      <c s="339" r="BZ30"/>
      <c s="404" r="CA30"/>
      <c s="394" r="CB30" t="n">
        <f>IF(CA$16=0,0,-CA30/CA$16)</f>
        <v>0</v>
      </c>
      <c s="339" r="CC30"/>
      <c s="404" r="CD30"/>
      <c s="394" r="CE30" t="n">
        <f>IF(CD$16=0,0,-CD30/CD$16)</f>
        <v>0</v>
      </c>
      <c s="339" r="CF30"/>
      <c s="404" r="CG30"/>
      <c s="394" r="CH30" t="n">
        <f>IF(CG$16=0,0,-CG30/CG$16)</f>
        <v>0</v>
      </c>
      <c s="339" r="CI30"/>
      <c s="404" r="CJ30"/>
      <c s="394" r="CK30" t="n">
        <f>IF(CJ$16=0,0,-CJ30/CJ$16)</f>
        <v>0</v>
      </c>
      <c s="324" r="CL30"/>
      <c s="393" r="CM30" t="n">
        <f>IF(CM$6=0,0,(BX30*BX$6+CA30*CA$6+CD30*CD$6+CG30*CG$6+CJ30*CJ$6)/CM$6)</f>
        <v>0</v>
      </c>
      <c s="398" r="CN30" t="n">
        <f>IF(CM$16=0,0,-CM30/CM$16)</f>
        <v>0</v>
      </c>
      <c s="325" r="CO30"/>
      <c s="379" r="CP30" t="n">
        <f>IF(CP$6=0,0,(D30*D$6+V30*V$6+AN30*AN$6+BF30*BF$6+BX30*BX$6)/CP$6)</f>
        <v>0</v>
      </c>
      <c s="378" r="CQ30" t="n">
        <f>IF(CP$16=0,0,-CP30/CP$16)</f>
        <v>0</v>
      </c>
      <c s="379" r="CR30"/>
      <c s="379" r="CS30" t="n">
        <f>IF(CS$6=0,0,(G30*G$6+Y30*Y$6+AQ30*AQ$6+BI30*BI$6+CA30*CA$6)/CS$6)</f>
        <v>0</v>
      </c>
      <c s="378" r="CT30" t="n">
        <f>IF(CS$16=0,0,-CS30/CS$16)</f>
        <v>0</v>
      </c>
      <c s="379" r="CU30"/>
      <c s="379" r="CV30" t="n">
        <f>IF(CV$6=0,0,(J30*J$6+AB30*AB$6+AT30*AT$6+BL30*BL$6+CD30*CD$6)/CV$6)</f>
        <v>0</v>
      </c>
      <c s="378" r="CW30" t="n">
        <f>IF(CV$16=0,0,-CV30/CV$16)</f>
        <v>0</v>
      </c>
      <c s="379" r="CX30"/>
      <c s="379" r="CY30" t="n">
        <f>IF(CY$6=0,0,(M30*M$6+AE30*AE$6+AW30*AW$6+BO30*BO$6+CG30*CG$6)/CY$6)</f>
        <v>0</v>
      </c>
      <c s="378" r="CZ30" t="n">
        <f>IF(CY$16=0,0,-CY30/CY$16)</f>
        <v>0</v>
      </c>
      <c s="379" r="DA30"/>
      <c s="379" r="DB30" t="n">
        <f>IF(DB$6=0,0,(P30*P$6+AH30*AH$6+AZ30*AZ$6+BR30*BR$6+CJ30*CJ$6)/DB$6)</f>
        <v>0</v>
      </c>
      <c s="378" r="DC30" t="n">
        <f>IF(DB$16=0,0,-DB30/DB$16)</f>
        <v>0</v>
      </c>
      <c s="339" r="DD30"/>
      <c s="379" r="DE30" t="n">
        <f>IF(DE$6=0,0,(S30*S$6+AK30*AK$6+BC30*BC$6+BU30*BU$6+CM30*CM$6)/DE$6)</f>
        <v>0</v>
      </c>
      <c s="378" r="DF30" t="n">
        <f>IF(DE$16=0,0,-DE30/DE$16)</f>
        <v>0</v>
      </c>
      <c s="364" r="DG30"/>
    </row>
    <row r="31" spans="1:111" ht="16.05" customHeight="1" outlineLevel="1">
      <c s="402" r="A31"/>
      <c s="391" r="B31" t="str">
        <v>             -其它</v>
      </c>
      <c s="336" r="C31"/>
      <c s="404" r="D31"/>
      <c s="394" r="E31" t="n">
        <f>IF(D$16=0,0,-D31/D$16)</f>
        <v>0</v>
      </c>
      <c s="339" r="F31"/>
      <c s="404" r="G31"/>
      <c s="394" r="H31" t="n">
        <f>IF(G$16=0,0,-G31/G$16)</f>
        <v>0</v>
      </c>
      <c s="339" r="I31"/>
      <c s="404" r="J31"/>
      <c s="394" r="K31" t="n">
        <f>IF(J$16=0,0,-J31/J$16)</f>
        <v>0</v>
      </c>
      <c s="339" r="L31"/>
      <c s="404" r="M31"/>
      <c s="394" r="N31" t="n">
        <f>IF(M$16=0,0,-M31/M$16)</f>
        <v>0</v>
      </c>
      <c s="339" r="O31"/>
      <c s="404" r="P31"/>
      <c s="394" r="Q31" t="n">
        <f>IF(P$16=0,0,-P31/P$16)</f>
        <v>0</v>
      </c>
      <c s="324" r="R31"/>
      <c s="393" r="S31" t="n">
        <f>IF(S$6=0,0,(D31*D$6+G31*G$6+J31*J$6+M31*M$6+P31*P$6)/S$6)</f>
        <v>0</v>
      </c>
      <c s="394" r="T31" t="n">
        <f>IF(S$16=0,0,-S31/S$16)</f>
        <v>0</v>
      </c>
      <c s="324" r="U31"/>
      <c s="404" r="V31"/>
      <c s="394" r="W31" t="n">
        <f>IF(V$16=0,0,-V31/V$16)</f>
        <v>0</v>
      </c>
      <c s="339" r="X31"/>
      <c s="404" r="Y31"/>
      <c s="394" r="Z31" t="n">
        <f>IF(Y$16=0,0,-Y31/Y$16)</f>
        <v>0</v>
      </c>
      <c s="339" r="AA31"/>
      <c s="404" r="AB31"/>
      <c s="394" r="AC31" t="n">
        <f>IF(AB$16=0,0,-AB31/AB$16)</f>
        <v>0</v>
      </c>
      <c s="339" r="AD31"/>
      <c s="404" r="AE31"/>
      <c s="394" r="AF31" t="n">
        <f>IF(AE$16=0,0,-AE31/AE$16)</f>
        <v>0</v>
      </c>
      <c s="339" r="AG31"/>
      <c s="404" r="AH31"/>
      <c s="394" r="AI31" t="n">
        <f>IF(AH$16=0,0,-AH31/AH$16)</f>
        <v>0</v>
      </c>
      <c s="324" r="AJ31"/>
      <c s="393" r="AK31" t="n">
        <f>IF(AK$6=0,0,(V31*V$6+Y31*Y$6+AB31*AB$6+AE31*AE$6+AH31*AH$6)/AK$6)</f>
        <v>0</v>
      </c>
      <c s="394" r="AL31" t="n">
        <f>IF(AK$16=0,0,-AK31/AK$16)</f>
        <v>0</v>
      </c>
      <c s="324" r="AM31"/>
      <c s="404" r="AN31"/>
      <c s="394" r="AO31" t="n">
        <f>IF(AN$16=0,0,-AN31/AN$16)</f>
        <v>0</v>
      </c>
      <c s="339" r="AP31"/>
      <c s="404" r="AQ31"/>
      <c s="394" r="AR31" t="n">
        <f>IF(AQ$16=0,0,-AQ31/AQ$16)</f>
        <v>0</v>
      </c>
      <c s="339" r="AS31"/>
      <c s="404" r="AT31"/>
      <c s="394" r="AU31" t="n">
        <f>IF(AT$16=0,0,-AT31/AT$16)</f>
        <v>0</v>
      </c>
      <c s="339" r="AV31"/>
      <c s="404" r="AW31"/>
      <c s="394" r="AX31" t="n">
        <f>IF(AW$16=0,0,-AW31/AW$16)</f>
        <v>0</v>
      </c>
      <c s="339" r="AY31"/>
      <c s="404" r="AZ31"/>
      <c s="394" r="BA31" t="n">
        <f>IF(AZ$16=0,0,-AZ31/AZ$16)</f>
        <v>0</v>
      </c>
      <c s="324" r="BB31"/>
      <c s="393" r="BC31" t="n">
        <f>IF(BC$6=0,0,(AN31*AN$6+AQ31*AQ$6+AT31*AT$6+AW31*AW$6+AZ31*AZ$6)/BC$6)</f>
        <v>0</v>
      </c>
      <c s="394" r="BD31" t="n">
        <f>IF(BC$16=0,0,-BC31/BC$16)</f>
        <v>0</v>
      </c>
      <c s="324" r="BE31"/>
      <c s="404" r="BF31"/>
      <c s="394" r="BG31" t="n">
        <f>IF(BF$16=0,0,-BF31/BF$16)</f>
        <v>0</v>
      </c>
      <c s="339" r="BH31"/>
      <c s="404" r="BI31"/>
      <c s="394" r="BJ31" t="n">
        <f>IF(BI$16=0,0,-BI31/BI$16)</f>
        <v>0</v>
      </c>
      <c s="339" r="BK31"/>
      <c s="404" r="BL31"/>
      <c s="394" r="BM31" t="n">
        <f>IF(BL$16=0,0,-BL31/BL$16)</f>
        <v>0</v>
      </c>
      <c s="339" r="BN31"/>
      <c s="404" r="BO31"/>
      <c s="394" r="BP31" t="n">
        <f>IF(BO$16=0,0,-BO31/BO$16)</f>
        <v>0</v>
      </c>
      <c s="339" r="BQ31"/>
      <c s="404" r="BR31"/>
      <c s="394" r="BS31" t="n">
        <f>IF(BR$16=0,0,-BR31/BR$16)</f>
        <v>0</v>
      </c>
      <c s="324" r="BT31"/>
      <c s="393" r="BU31" t="n">
        <f>IF(BU$6=0,0,(BF31*BF$6+BI31*BI$6+BL31*BL$6+BO31*BO$6+BR31*BR$6)/BU$6)</f>
        <v>0</v>
      </c>
      <c s="398" r="BV31" t="n">
        <f>IF(BU$16=0,0,-BU31/BU$16)</f>
        <v>0</v>
      </c>
      <c s="324" r="BW31"/>
      <c s="404" r="BX31"/>
      <c s="394" r="BY31" t="n">
        <f>IF(BX$16=0,0,-BX31/BX$16)</f>
        <v>0</v>
      </c>
      <c s="339" r="BZ31"/>
      <c s="404" r="CA31"/>
      <c s="394" r="CB31" t="n">
        <f>IF(CA$16=0,0,-CA31/CA$16)</f>
        <v>0</v>
      </c>
      <c s="339" r="CC31"/>
      <c s="404" r="CD31"/>
      <c s="394" r="CE31" t="n">
        <f>IF(CD$16=0,0,-CD31/CD$16)</f>
        <v>0</v>
      </c>
      <c s="339" r="CF31"/>
      <c s="404" r="CG31"/>
      <c s="394" r="CH31" t="n">
        <f>IF(CG$16=0,0,-CG31/CG$16)</f>
        <v>0</v>
      </c>
      <c s="339" r="CI31"/>
      <c s="404" r="CJ31"/>
      <c s="394" r="CK31" t="n">
        <f>IF(CJ$16=0,0,-CJ31/CJ$16)</f>
        <v>0</v>
      </c>
      <c s="324" r="CL31"/>
      <c s="393" r="CM31" t="n">
        <f>IF(CM$6=0,0,(BX31*BX$6+CA31*CA$6+CD31*CD$6+CG31*CG$6+CJ31*CJ$6)/CM$6)</f>
        <v>0</v>
      </c>
      <c s="398" r="CN31" t="n">
        <f>IF(CM$16=0,0,-CM31/CM$16)</f>
        <v>0</v>
      </c>
      <c s="325" r="CO31"/>
      <c s="379" r="CP31" t="n">
        <f>IF(CP$6=0,0,(D31*D$6+V31*V$6+AN31*AN$6+BF31*BF$6+BX31*BX$6)/CP$6)</f>
        <v>0</v>
      </c>
      <c s="378" r="CQ31" t="n">
        <f>IF(CP$16=0,0,-CP31/CP$16)</f>
        <v>0</v>
      </c>
      <c s="379" r="CR31"/>
      <c s="379" r="CS31" t="n">
        <f>IF(CS$6=0,0,(G31*G$6+Y31*Y$6+AQ31*AQ$6+BI31*BI$6+CA31*CA$6)/CS$6)</f>
        <v>0</v>
      </c>
      <c s="378" r="CT31" t="n">
        <f>IF(CS$16=0,0,-CS31/CS$16)</f>
        <v>0</v>
      </c>
      <c s="379" r="CU31"/>
      <c s="379" r="CV31" t="n">
        <f>IF(CV$6=0,0,(J31*J$6+AB31*AB$6+AT31*AT$6+BL31*BL$6+CD31*CD$6)/CV$6)</f>
        <v>0</v>
      </c>
      <c s="378" r="CW31" t="n">
        <f>IF(CV$16=0,0,-CV31/CV$16)</f>
        <v>0</v>
      </c>
      <c s="379" r="CX31"/>
      <c s="379" r="CY31" t="n">
        <f>IF(CY$6=0,0,(M31*M$6+AE31*AE$6+AW31*AW$6+BO31*BO$6+CG31*CG$6)/CY$6)</f>
        <v>0</v>
      </c>
      <c s="378" r="CZ31" t="n">
        <f>IF(CY$16=0,0,-CY31/CY$16)</f>
        <v>0</v>
      </c>
      <c s="379" r="DA31"/>
      <c s="379" r="DB31" t="n">
        <f>IF(DB$6=0,0,(P31*P$6+AH31*AH$6+AZ31*AZ$6+BR31*BR$6+CJ31*CJ$6)/DB$6)</f>
        <v>0</v>
      </c>
      <c s="378" r="DC31" t="n">
        <f>IF(DB$16=0,0,-DB31/DB$16)</f>
        <v>0</v>
      </c>
      <c s="339" r="DD31"/>
      <c s="379" r="DE31" t="n">
        <f>IF(DE$6=0,0,(S31*S$6+AK31*AK$6+BC31*BC$6+BU31*BU$6+CM31*CM$6)/DE$6)</f>
        <v>0</v>
      </c>
      <c s="378" r="DF31" t="n">
        <f>IF(DE$16=0,0,-DE31/DE$16)</f>
        <v>0</v>
      </c>
      <c s="364" r="DG31"/>
    </row>
    <row r="32" spans="1:111" ht="16.05" customHeight="1" outlineLevel="1">
      <c s="402" r="A32"/>
      <c s="322" r="B32" t="str">
        <v>         变动费用</v>
      </c>
      <c s="336" r="C32"/>
      <c s="338" r="D32" t="n">
        <f>SUM(D33:D37)</f>
        <v>0</v>
      </c>
      <c s="361" r="E32" t="n">
        <f>IF(D$16=0,0,-D32/D$16)</f>
        <v>0</v>
      </c>
      <c s="339" r="F32"/>
      <c s="338" r="G32" t="n">
        <f>SUM(G33:G37)</f>
        <v>0</v>
      </c>
      <c s="361" r="H32" t="n">
        <f>IF(G$16=0,0,-G32/G$16)</f>
        <v>0</v>
      </c>
      <c s="339" r="I32"/>
      <c s="338" r="J32" t="n">
        <f>SUM(J33:J37)</f>
        <v>0</v>
      </c>
      <c s="361" r="K32" t="n">
        <f>IF(J$16=0,0,-J32/J$16)</f>
        <v>0</v>
      </c>
      <c s="339" r="L32"/>
      <c s="338" r="M32" t="n">
        <f>SUM(M33:M37)</f>
        <v>0</v>
      </c>
      <c s="361" r="N32" t="n">
        <f>IF(M$16=0,0,-M32/M$16)</f>
        <v>0</v>
      </c>
      <c s="339" r="O32"/>
      <c s="338" r="P32" t="n">
        <f>SUM(P33:P37)</f>
        <v>0</v>
      </c>
      <c s="361" r="Q32" t="n">
        <f>IF(P$16=0,0,-P32/P$16)</f>
        <v>0</v>
      </c>
      <c s="324" r="R32"/>
      <c s="338" r="S32" t="n">
        <f>IF(S$6=0,0,(D32*D$6+G32*G$6+J32*J$6+M32*M$6+P32*P$6)/S$6)</f>
        <v>0</v>
      </c>
      <c s="361" r="T32" t="n">
        <f>IF(S$16=0,0,-S32/S$16)</f>
        <v>0</v>
      </c>
      <c s="324" r="U32"/>
      <c s="338" r="V32" t="n">
        <f>SUM(V33:V37)</f>
        <v>0</v>
      </c>
      <c s="361" r="W32" t="n">
        <f>IF(V$16=0,0,-V32/V$16)</f>
        <v>0</v>
      </c>
      <c s="339" r="X32"/>
      <c s="338" r="Y32" t="n">
        <f>SUM(Y33:Y37)</f>
        <v>0</v>
      </c>
      <c s="361" r="Z32" t="n">
        <f>IF(Y$16=0,0,-Y32/Y$16)</f>
        <v>0</v>
      </c>
      <c s="339" r="AA32"/>
      <c s="338" r="AB32" t="n">
        <f>SUM(AB33:AB37)</f>
        <v>0</v>
      </c>
      <c s="361" r="AC32" t="n">
        <f>IF(AB$16=0,0,-AB32/AB$16)</f>
        <v>0</v>
      </c>
      <c s="339" r="AD32"/>
      <c s="338" r="AE32" t="n">
        <f>SUM(AE33:AE37)</f>
        <v>0</v>
      </c>
      <c s="361" r="AF32" t="n">
        <f>IF(AE$16=0,0,-AE32/AE$16)</f>
        <v>0</v>
      </c>
      <c s="339" r="AG32"/>
      <c s="338" r="AH32" t="n">
        <f>SUM(AH33:AH37)</f>
        <v>0</v>
      </c>
      <c s="361" r="AI32" t="n">
        <f>IF(AH$16=0,0,-AH32/AH$16)</f>
        <v>0</v>
      </c>
      <c s="324" r="AJ32"/>
      <c s="339" r="AK32" t="n">
        <f>IF(AK$6=0,0,(V32*V$6+Y32*Y$6+AB32*AB$6+AE32*AE$6+AH32*AH$6)/AK$6)</f>
        <v>0</v>
      </c>
      <c s="361" r="AL32" t="n">
        <f>IF(AK$16=0,0,-AK32/AK$16)</f>
        <v>0</v>
      </c>
      <c s="324" r="AM32"/>
      <c s="338" r="AN32" t="n">
        <f>SUM(AN33:AN37)</f>
        <v>0</v>
      </c>
      <c s="361" r="AO32" t="n">
        <f>IF(AN$16=0,0,-AN32/AN$16)</f>
        <v>0</v>
      </c>
      <c s="339" r="AP32"/>
      <c s="338" r="AQ32" t="n">
        <f>SUM(AQ33:AQ37)</f>
        <v>0</v>
      </c>
      <c s="361" r="AR32" t="n">
        <f>IF(AQ$16=0,0,-AQ32/AQ$16)</f>
        <v>0</v>
      </c>
      <c s="339" r="AS32"/>
      <c s="338" r="AT32" t="n">
        <f>SUM(AT33:AT37)</f>
        <v>0</v>
      </c>
      <c s="361" r="AU32" t="n">
        <f>IF(AT$16=0,0,-AT32/AT$16)</f>
        <v>0</v>
      </c>
      <c s="339" r="AV32"/>
      <c s="338" r="AW32" t="n">
        <f>SUM(AW33:AW37)</f>
        <v>0</v>
      </c>
      <c s="361" r="AX32" t="n">
        <f>IF(AW$16=0,0,-AW32/AW$16)</f>
        <v>0</v>
      </c>
      <c s="339" r="AY32"/>
      <c s="338" r="AZ32" t="n">
        <f>SUM(AZ33:AZ37)</f>
        <v>0</v>
      </c>
      <c s="361" r="BA32" t="n">
        <f>IF(AZ$16=0,0,-AZ32/AZ$16)</f>
        <v>0</v>
      </c>
      <c s="324" r="BB32"/>
      <c s="339" r="BC32" t="n">
        <f>IF(BC$6=0,0,(AN32*AN$6+AQ32*AQ$6+AT32*AT$6+AW32*AW$6+AZ32*AZ$6)/BC$6)</f>
        <v>0</v>
      </c>
      <c s="361" r="BD32" t="n">
        <f>IF(BC$16=0,0,-BC32/BC$16)</f>
        <v>0</v>
      </c>
      <c s="324" r="BE32"/>
      <c s="338" r="BF32" t="n">
        <f>SUM(BF33:BF37)</f>
        <v>0</v>
      </c>
      <c s="361" r="BG32" t="n">
        <f>IF(BF$16=0,0,-BF32/BF$16)</f>
        <v>0</v>
      </c>
      <c s="339" r="BH32"/>
      <c s="338" r="BI32" t="n">
        <f>SUM(BI33:BI37)</f>
        <v>0</v>
      </c>
      <c s="361" r="BJ32" t="n">
        <f>IF(BI$16=0,0,-BI32/BI$16)</f>
        <v>0</v>
      </c>
      <c s="339" r="BK32"/>
      <c s="338" r="BL32" t="n">
        <f>SUM(BL33:BL37)</f>
        <v>0</v>
      </c>
      <c s="361" r="BM32" t="n">
        <f>IF(BL$16=0,0,-BL32/BL$16)</f>
        <v>0</v>
      </c>
      <c s="339" r="BN32"/>
      <c s="338" r="BO32" t="n">
        <f>SUM(BO33:BO37)</f>
        <v>0</v>
      </c>
      <c s="361" r="BP32" t="n">
        <f>IF(BO$16=0,0,-BO32/BO$16)</f>
        <v>0</v>
      </c>
      <c s="339" r="BQ32"/>
      <c s="338" r="BR32" t="n">
        <f>SUM(BR33:BR37)</f>
        <v>0</v>
      </c>
      <c s="361" r="BS32" t="n">
        <f>IF(BR$16=0,0,-BR32/BR$16)</f>
        <v>0</v>
      </c>
      <c s="324" r="BT32"/>
      <c s="339" r="BU32" t="n">
        <f>IF(BU$6=0,0,(BF32*BF$6+BI32*BI$6+BL32*BL$6+BO32*BO$6+BR32*BR$6)/BU$6)</f>
        <v>0</v>
      </c>
      <c s="372" r="BV32" t="n">
        <f>IF(BU$16=0,0,-BU32/BU$16)</f>
        <v>0</v>
      </c>
      <c s="324" r="BW32"/>
      <c s="338" r="BX32" t="n">
        <f>SUM(BX33:BX37)</f>
        <v>0</v>
      </c>
      <c s="361" r="BY32" t="n">
        <f>IF(BX$16=0,0,-BX32/BX$16)</f>
        <v>0</v>
      </c>
      <c s="339" r="BZ32"/>
      <c s="338" r="CA32" t="n">
        <f>SUM(CA33:CA37)</f>
        <v>0</v>
      </c>
      <c s="361" r="CB32" t="n">
        <f>IF(CA$16=0,0,-CA32/CA$16)</f>
        <v>0</v>
      </c>
      <c s="339" r="CC32"/>
      <c s="338" r="CD32" t="n">
        <f>SUM(CD33:CD37)</f>
        <v>0</v>
      </c>
      <c s="361" r="CE32" t="n">
        <f>IF(CD$16=0,0,-CD32/CD$16)</f>
        <v>0</v>
      </c>
      <c s="339" r="CF32"/>
      <c s="338" r="CG32" t="n">
        <f>SUM(CG33:CG37)</f>
        <v>0</v>
      </c>
      <c s="361" r="CH32" t="n">
        <f>IF(CG$16=0,0,-CG32/CG$16)</f>
        <v>0</v>
      </c>
      <c s="339" r="CI32"/>
      <c s="338" r="CJ32" t="n">
        <f>SUM(CJ33:CJ37)</f>
        <v>0</v>
      </c>
      <c s="361" r="CK32" t="n">
        <f>IF(CJ$16=0,0,-CJ32/CJ$16)</f>
        <v>0</v>
      </c>
      <c s="324" r="CL32"/>
      <c s="339" r="CM32" t="n">
        <f>IF(CM$6=0,0,(BX32*BX$6+CA32*CA$6+CD32*CD$6+CG32*CG$6+CJ32*CJ$6)/CM$6)</f>
        <v>0</v>
      </c>
      <c s="361" r="CN32" t="n">
        <f>IF(CM$16=0,0,-CM32/CM$16)</f>
        <v>0</v>
      </c>
      <c s="325" r="CO32"/>
      <c s="368" r="CP32" t="n">
        <f>IF(CP$6=0,0,(D32*D$6+V32*V$6+AN32*AN$6+BF32*BF$6+BX32*BX$6)/CP$6)</f>
        <v>0</v>
      </c>
      <c s="372" r="CQ32" t="n">
        <f>IF(CP$16=0,0,-CP32/CP$16)</f>
        <v>0</v>
      </c>
      <c s="379" r="CR32"/>
      <c s="368" r="CS32" t="n">
        <f>IF(CS$6=0,0,(G32*G$6+Y32*Y$6+AQ32*AQ$6+BI32*BI$6+CA32*CA$6)/CS$6)</f>
        <v>0</v>
      </c>
      <c s="372" r="CT32" t="n">
        <f>IF(CS$16=0,0,-CS32/CS$16)</f>
        <v>0</v>
      </c>
      <c s="368" r="CU32"/>
      <c s="368" r="CV32" t="n">
        <f>IF(CV$6=0,0,(J32*J$6+AB32*AB$6+AT32*AT$6+BL32*BL$6+CD32*CD$6)/CV$6)</f>
        <v>0</v>
      </c>
      <c s="372" r="CW32" t="n">
        <f>IF(CV$16=0,0,-CV32/CV$16)</f>
        <v>0</v>
      </c>
      <c s="368" r="CX32"/>
      <c s="368" r="CY32" t="n">
        <f>IF(CY$6=0,0,(M32*M$6+AE32*AE$6+AW32*AW$6+BO32*BO$6+CG32*CG$6)/CY$6)</f>
        <v>0</v>
      </c>
      <c s="372" r="CZ32" t="n">
        <f>IF(CY$16=0,0,-CY32/CY$16)</f>
        <v>0</v>
      </c>
      <c s="368" r="DA32"/>
      <c s="368" r="DB32" t="n">
        <f>IF(DB$6=0,0,(P32*P$6+AH32*AH$6+AZ32*AZ$6+BR32*BR$6+CJ32*CJ$6)/DB$6)</f>
        <v>0</v>
      </c>
      <c s="372" r="DC32" t="n">
        <f>IF(DB$16=0,0,-DB32/DB$16)</f>
        <v>0</v>
      </c>
      <c s="339" r="DD32"/>
      <c s="339" r="DE32" t="n">
        <f>IF(DE$6=0,0,(S32*S$6+AK32*AK$6+BC32*BC$6+BU32*BU$6+CM32*CM$6)/DE$6)</f>
        <v>0</v>
      </c>
      <c s="342" r="DF32" t="n">
        <f>IF(DE$16=0,0,-DE32/DE$16)</f>
        <v>0</v>
      </c>
      <c s="364" r="DG32"/>
    </row>
    <row r="33" spans="1:111" ht="16.05" customHeight="1" outlineLevel="1">
      <c s="402" r="A33"/>
      <c s="391" r="B33" t="str">
        <v>             -人工成本-加班费</v>
      </c>
      <c s="336" r="C33"/>
      <c s="404" r="D33"/>
      <c s="394" r="E33" t="n">
        <f>IF(D$16=0,0,-D33/D$16)</f>
        <v>0</v>
      </c>
      <c s="339" r="F33"/>
      <c s="404" r="G33"/>
      <c s="394" r="H33" t="n">
        <f>IF(G$16=0,0,-G33/G$16)</f>
        <v>0</v>
      </c>
      <c s="339" r="I33"/>
      <c s="404" r="J33"/>
      <c s="394" r="K33" t="n">
        <f>IF(J$16=0,0,-J33/J$16)</f>
        <v>0</v>
      </c>
      <c s="339" r="L33"/>
      <c s="404" r="M33"/>
      <c s="394" r="N33" t="n">
        <f>IF(M$16=0,0,-M33/M$16)</f>
        <v>0</v>
      </c>
      <c s="339" r="O33"/>
      <c s="404" r="P33"/>
      <c s="394" r="Q33" t="n">
        <f>IF(P$16=0,0,-P33/P$16)</f>
        <v>0</v>
      </c>
      <c s="324" r="R33"/>
      <c s="393" r="S33" t="n">
        <f>IF(S$6=0,0,(D33*D$6+G33*G$6+J33*J$6+M33*M$6+P33*P$6)/S$6)</f>
        <v>0</v>
      </c>
      <c s="394" r="T33" t="n">
        <f>IF(S$16=0,0,-S33/S$16)</f>
        <v>0</v>
      </c>
      <c s="324" r="U33"/>
      <c s="404" r="V33"/>
      <c s="394" r="W33" t="n">
        <f>IF(V$16=0,0,-V33/V$16)</f>
        <v>0</v>
      </c>
      <c s="339" r="X33"/>
      <c s="404" r="Y33"/>
      <c s="394" r="Z33" t="n">
        <f>IF(Y$16=0,0,-Y33/Y$16)</f>
        <v>0</v>
      </c>
      <c s="339" r="AA33"/>
      <c s="404" r="AB33"/>
      <c s="394" r="AC33" t="n">
        <f>IF(AB$16=0,0,-AB33/AB$16)</f>
        <v>0</v>
      </c>
      <c s="339" r="AD33"/>
      <c s="404" r="AE33"/>
      <c s="394" r="AF33" t="n">
        <f>IF(AE$16=0,0,-AE33/AE$16)</f>
        <v>0</v>
      </c>
      <c s="339" r="AG33"/>
      <c s="404" r="AH33"/>
      <c s="394" r="AI33" t="n">
        <f>IF(AH$16=0,0,-AH33/AH$16)</f>
        <v>0</v>
      </c>
      <c s="324" r="AJ33"/>
      <c s="393" r="AK33" t="n">
        <f>IF(AK$6=0,0,(V33*V$6+Y33*Y$6+AB33*AB$6+AE33*AE$6+AH33*AH$6)/AK$6)</f>
        <v>0</v>
      </c>
      <c s="394" r="AL33" t="n">
        <f>IF(AK$16=0,0,-AK33/AK$16)</f>
        <v>0</v>
      </c>
      <c s="324" r="AM33"/>
      <c s="404" r="AN33"/>
      <c s="394" r="AO33" t="n">
        <f>IF(AN$16=0,0,-AN33/AN$16)</f>
        <v>0</v>
      </c>
      <c s="339" r="AP33"/>
      <c s="404" r="AQ33"/>
      <c s="394" r="AR33" t="n">
        <f>IF(AQ$16=0,0,-AQ33/AQ$16)</f>
        <v>0</v>
      </c>
      <c s="339" r="AS33"/>
      <c s="404" r="AT33"/>
      <c s="394" r="AU33" t="n">
        <f>IF(AT$16=0,0,-AT33/AT$16)</f>
        <v>0</v>
      </c>
      <c s="339" r="AV33"/>
      <c s="404" r="AW33"/>
      <c s="394" r="AX33" t="n">
        <f>IF(AW$16=0,0,-AW33/AW$16)</f>
        <v>0</v>
      </c>
      <c s="339" r="AY33"/>
      <c s="404" r="AZ33"/>
      <c s="394" r="BA33" t="n">
        <f>IF(AZ$16=0,0,-AZ33/AZ$16)</f>
        <v>0</v>
      </c>
      <c s="324" r="BB33"/>
      <c s="393" r="BC33" t="n">
        <f>IF(BC$6=0,0,(AN33*AN$6+AQ33*AQ$6+AT33*AT$6+AW33*AW$6+AZ33*AZ$6)/BC$6)</f>
        <v>0</v>
      </c>
      <c s="394" r="BD33" t="n">
        <f>IF(BC$16=0,0,-BC33/BC$16)</f>
        <v>0</v>
      </c>
      <c s="324" r="BE33"/>
      <c s="404" r="BF33"/>
      <c s="394" r="BG33" t="n">
        <f>IF(BF$16=0,0,-BF33/BF$16)</f>
        <v>0</v>
      </c>
      <c s="339" r="BH33"/>
      <c s="404" r="BI33"/>
      <c s="394" r="BJ33" t="n">
        <f>IF(BI$16=0,0,-BI33/BI$16)</f>
        <v>0</v>
      </c>
      <c s="339" r="BK33"/>
      <c s="404" r="BL33"/>
      <c s="394" r="BM33" t="n">
        <f>IF(BL$16=0,0,-BL33/BL$16)</f>
        <v>0</v>
      </c>
      <c s="339" r="BN33"/>
      <c s="404" r="BO33"/>
      <c s="394" r="BP33" t="n">
        <f>IF(BO$16=0,0,-BO33/BO$16)</f>
        <v>0</v>
      </c>
      <c s="339" r="BQ33"/>
      <c s="404" r="BR33"/>
      <c s="394" r="BS33" t="n">
        <f>IF(BR$16=0,0,-BR33/BR$16)</f>
        <v>0</v>
      </c>
      <c s="324" r="BT33"/>
      <c s="393" r="BU33" t="n">
        <f>IF(BU$6=0,0,(BF33*BF$6+BI33*BI$6+BL33*BL$6+BO33*BO$6+BR33*BR$6)/BU$6)</f>
        <v>0</v>
      </c>
      <c s="398" r="BV33" t="n">
        <f>IF(BU$16=0,0,-BU33/BU$16)</f>
        <v>0</v>
      </c>
      <c s="324" r="BW33"/>
      <c s="404" r="BX33"/>
      <c s="394" r="BY33" t="n">
        <f>IF(BX$16=0,0,-BX33/BX$16)</f>
        <v>0</v>
      </c>
      <c s="339" r="BZ33"/>
      <c s="404" r="CA33"/>
      <c s="394" r="CB33" t="n">
        <f>IF(CA$16=0,0,-CA33/CA$16)</f>
        <v>0</v>
      </c>
      <c s="339" r="CC33"/>
      <c s="404" r="CD33"/>
      <c s="394" r="CE33" t="n">
        <f>IF(CD$16=0,0,-CD33/CD$16)</f>
        <v>0</v>
      </c>
      <c s="339" r="CF33"/>
      <c s="404" r="CG33"/>
      <c s="394" r="CH33" t="n">
        <f>IF(CG$16=0,0,-CG33/CG$16)</f>
        <v>0</v>
      </c>
      <c s="339" r="CI33"/>
      <c s="404" r="CJ33"/>
      <c s="394" r="CK33" t="n">
        <f>IF(CJ$16=0,0,-CJ33/CJ$16)</f>
        <v>0</v>
      </c>
      <c s="324" r="CL33"/>
      <c s="393" r="CM33" t="n">
        <f>IF(CM$6=0,0,(BX33*BX$6+CA33*CA$6+CD33*CD$6+CG33*CG$6+CJ33*CJ$6)/CM$6)</f>
        <v>0</v>
      </c>
      <c s="398" r="CN33" t="n">
        <f>IF(CM$16=0,0,-CM33/CM$16)</f>
        <v>0</v>
      </c>
      <c s="325" r="CO33"/>
      <c s="379" r="CP33" t="n">
        <f>IF(CP$6=0,0,(D33*D$6+V33*V$6+AN33*AN$6+BF33*BF$6+BX33*BX$6)/CP$6)</f>
        <v>0</v>
      </c>
      <c s="378" r="CQ33" t="n">
        <f>IF(CP$16=0,0,-CP33/CP$16)</f>
        <v>0</v>
      </c>
      <c s="379" r="CR33"/>
      <c s="379" r="CS33" t="n">
        <f>IF(CS$6=0,0,(G33*G$6+Y33*Y$6+AQ33*AQ$6+BI33*BI$6+CA33*CA$6)/CS$6)</f>
        <v>0</v>
      </c>
      <c s="378" r="CT33" t="n">
        <f>IF(CS$16=0,0,-CS33/CS$16)</f>
        <v>0</v>
      </c>
      <c s="379" r="CU33"/>
      <c s="379" r="CV33" t="n">
        <f>IF(CV$6=0,0,(J33*J$6+AB33*AB$6+AT33*AT$6+BL33*BL$6+CD33*CD$6)/CV$6)</f>
        <v>0</v>
      </c>
      <c s="378" r="CW33" t="n">
        <f>IF(CV$16=0,0,-CV33/CV$16)</f>
        <v>0</v>
      </c>
      <c s="379" r="CX33"/>
      <c s="379" r="CY33" t="n">
        <f>IF(CY$6=0,0,(M33*M$6+AE33*AE$6+AW33*AW$6+BO33*BO$6+CG33*CG$6)/CY$6)</f>
        <v>0</v>
      </c>
      <c s="378" r="CZ33" t="n">
        <f>IF(CY$16=0,0,-CY33/CY$16)</f>
        <v>0</v>
      </c>
      <c s="379" r="DA33"/>
      <c s="379" r="DB33" t="n">
        <f>IF(DB$6=0,0,(P33*P$6+AH33*AH$6+AZ33*AZ$6+BR33*BR$6+CJ33*CJ$6)/DB$6)</f>
        <v>0</v>
      </c>
      <c s="378" r="DC33" t="n">
        <f>IF(DB$16=0,0,-DB33/DB$16)</f>
        <v>0</v>
      </c>
      <c s="339" r="DD33"/>
      <c s="379" r="DE33" t="n">
        <f>IF(DE$6=0,0,(S33*S$6+AK33*AK$6+BC33*BC$6+BU33*BU$6+CM33*CM$6)/DE$6)</f>
        <v>0</v>
      </c>
      <c s="378" r="DF33" t="n">
        <f>IF(DE$16=0,0,-DE33/DE$16)</f>
        <v>0</v>
      </c>
      <c s="364" r="DG33"/>
    </row>
    <row r="34" spans="1:111" outlineLevel="1">
      <c s="402" r="A34"/>
      <c s="391" r="B34" t="str">
        <v>             -燃动成本</v>
      </c>
      <c s="336" r="C34"/>
      <c s="404" r="D34"/>
      <c s="394" r="E34" t="n">
        <f>IF(D$16=0,0,-D34/D$16)</f>
        <v>0</v>
      </c>
      <c s="339" r="F34"/>
      <c s="404" r="G34"/>
      <c s="394" r="H34" t="n">
        <f>IF(G$16=0,0,-G34/G$16)</f>
        <v>0</v>
      </c>
      <c s="339" r="I34"/>
      <c s="404" r="J34"/>
      <c s="394" r="K34" t="n">
        <f>IF(J$16=0,0,-J34/J$16)</f>
        <v>0</v>
      </c>
      <c s="339" r="L34"/>
      <c s="404" r="M34"/>
      <c s="394" r="N34" t="n">
        <f>IF(M$16=0,0,-M34/M$16)</f>
        <v>0</v>
      </c>
      <c s="339" r="O34"/>
      <c s="404" r="P34"/>
      <c s="394" r="Q34" t="n">
        <f>IF(P$16=0,0,-P34/P$16)</f>
        <v>0</v>
      </c>
      <c s="324" r="R34"/>
      <c s="393" r="S34" t="n">
        <f>IF(S$6=0,0,(D34*D$6+G34*G$6+J34*J$6+M34*M$6+P34*P$6)/S$6)</f>
        <v>0</v>
      </c>
      <c s="394" r="T34" t="n">
        <f>IF(S$16=0,0,-S34/S$16)</f>
        <v>0</v>
      </c>
      <c s="324" r="U34"/>
      <c s="404" r="V34"/>
      <c s="394" r="W34" t="n">
        <f>IF(V$16=0,0,-V34/V$16)</f>
        <v>0</v>
      </c>
      <c s="405" r="X34"/>
      <c s="404" r="Y34"/>
      <c s="394" r="Z34" t="n">
        <f>IF(Y$16=0,0,-Y34/Y$16)</f>
        <v>0</v>
      </c>
      <c s="405" r="AA34"/>
      <c s="404" r="AB34"/>
      <c s="394" r="AC34" t="n">
        <f>IF(AB$16=0,0,-AB34/AB$16)</f>
        <v>0</v>
      </c>
      <c s="339" r="AD34"/>
      <c s="404" r="AE34"/>
      <c s="394" r="AF34" t="n">
        <f>IF(AE$16=0,0,-AE34/AE$16)</f>
        <v>0</v>
      </c>
      <c s="339" r="AG34"/>
      <c s="404" r="AH34"/>
      <c s="394" r="AI34" t="n">
        <f>IF(AH$16=0,0,-AH34/AH$16)</f>
        <v>0</v>
      </c>
      <c s="324" r="AJ34"/>
      <c s="393" r="AK34" t="n">
        <f>IF(AK$6=0,0,(V34*V$6+Y34*Y$6+AB34*AB$6+AE34*AE$6+AH34*AH$6)/AK$6)</f>
        <v>0</v>
      </c>
      <c s="394" r="AL34" t="n">
        <f>IF(AK$16=0,0,-AK34/AK$16)</f>
        <v>0</v>
      </c>
      <c s="324" r="AM34"/>
      <c s="404" r="AN34"/>
      <c s="394" r="AO34" t="n">
        <f>IF(AN$16=0,0,-AN34/AN$16)</f>
        <v>0</v>
      </c>
      <c s="405" r="AP34"/>
      <c s="404" r="AQ34"/>
      <c s="394" r="AR34" t="n">
        <f>IF(AQ$16=0,0,-AQ34/AQ$16)</f>
        <v>0</v>
      </c>
      <c s="405" r="AS34"/>
      <c s="404" r="AT34"/>
      <c s="394" r="AU34" t="n">
        <f>IF(AT$16=0,0,-AT34/AT$16)</f>
        <v>0</v>
      </c>
      <c s="339" r="AV34"/>
      <c s="404" r="AW34"/>
      <c s="394" r="AX34" t="n">
        <f>IF(AW$16=0,0,-AW34/AW$16)</f>
        <v>0</v>
      </c>
      <c s="339" r="AY34"/>
      <c s="404" r="AZ34"/>
      <c s="394" r="BA34" t="n">
        <f>IF(AZ$16=0,0,-AZ34/AZ$16)</f>
        <v>0</v>
      </c>
      <c s="324" r="BB34"/>
      <c s="393" r="BC34" t="n">
        <f>IF(BC$6=0,0,(AN34*AN$6+AQ34*AQ$6+AT34*AT$6+AW34*AW$6+AZ34*AZ$6)/BC$6)</f>
        <v>0</v>
      </c>
      <c s="394" r="BD34" t="n">
        <f>IF(BC$16=0,0,-BC34/BC$16)</f>
        <v>0</v>
      </c>
      <c s="324" r="BE34"/>
      <c s="404" r="BF34"/>
      <c s="394" r="BG34" t="n">
        <f>IF(BF$16=0,0,-BF34/BF$16)</f>
        <v>0</v>
      </c>
      <c s="405" r="BH34"/>
      <c s="404" r="BI34"/>
      <c s="394" r="BJ34" t="n">
        <f>IF(BI$16=0,0,-BI34/BI$16)</f>
        <v>0</v>
      </c>
      <c s="405" r="BK34"/>
      <c s="404" r="BL34"/>
      <c s="394" r="BM34" t="n">
        <f>IF(BL$16=0,0,-BL34/BL$16)</f>
        <v>0</v>
      </c>
      <c s="339" r="BN34"/>
      <c s="404" r="BO34"/>
      <c s="394" r="BP34" t="n">
        <f>IF(BO$16=0,0,-BO34/BO$16)</f>
        <v>0</v>
      </c>
      <c s="339" r="BQ34"/>
      <c s="404" r="BR34"/>
      <c s="394" r="BS34" t="n">
        <f>IF(BR$16=0,0,-BR34/BR$16)</f>
        <v>0</v>
      </c>
      <c s="324" r="BT34"/>
      <c s="393" r="BU34" t="n">
        <f>IF(BU$6=0,0,(BF34*BF$6+BI34*BI$6+BL34*BL$6+BO34*BO$6+BR34*BR$6)/BU$6)</f>
        <v>0</v>
      </c>
      <c s="398" r="BV34" t="n">
        <f>IF(BU$16=0,0,-BU34/BU$16)</f>
        <v>0</v>
      </c>
      <c s="324" r="BW34"/>
      <c s="404" r="BX34"/>
      <c s="394" r="BY34" t="n">
        <f>IF(BX$16=0,0,-BX34/BX$16)</f>
        <v>0</v>
      </c>
      <c s="405" r="BZ34"/>
      <c s="404" r="CA34"/>
      <c s="394" r="CB34" t="n">
        <f>IF(CA$16=0,0,-CA34/CA$16)</f>
        <v>0</v>
      </c>
      <c s="405" r="CC34"/>
      <c s="404" r="CD34"/>
      <c s="394" r="CE34" t="n">
        <f>IF(CD$16=0,0,-CD34/CD$16)</f>
        <v>0</v>
      </c>
      <c s="339" r="CF34"/>
      <c s="404" r="CG34"/>
      <c s="394" r="CH34" t="n">
        <f>IF(CG$16=0,0,-CG34/CG$16)</f>
        <v>0</v>
      </c>
      <c s="339" r="CI34"/>
      <c s="404" r="CJ34"/>
      <c s="394" r="CK34" t="n">
        <f>IF(CJ$16=0,0,-CJ34/CJ$16)</f>
        <v>0</v>
      </c>
      <c s="324" r="CL34"/>
      <c s="393" r="CM34" t="n">
        <f>IF(CM$6=0,0,(BX34*BX$6+CA34*CA$6+CD34*CD$6+CG34*CG$6+CJ34*CJ$6)/CM$6)</f>
        <v>0</v>
      </c>
      <c s="398" r="CN34" t="n">
        <f>IF(CM$16=0,0,-CM34/CM$16)</f>
        <v>0</v>
      </c>
      <c s="325" r="CO34"/>
      <c s="379" r="CP34" t="n">
        <f>IF(CP$6=0,0,(D34*D$6+V34*V$6+AN34*AN$6+BF34*BF$6+BX34*BX$6)/CP$6)</f>
        <v>0</v>
      </c>
      <c s="378" r="CQ34" t="n">
        <f>IF(CP$16=0,0,-CP34/CP$16)</f>
        <v>0</v>
      </c>
      <c s="379" r="CR34"/>
      <c s="379" r="CS34" t="n">
        <f>IF(CS$6=0,0,(G34*G$6+Y34*Y$6+AQ34*AQ$6+BI34*BI$6+CA34*CA$6)/CS$6)</f>
        <v>0</v>
      </c>
      <c s="378" r="CT34" t="n">
        <f>IF(CS$16=0,0,-CS34/CS$16)</f>
        <v>0</v>
      </c>
      <c s="379" r="CU34"/>
      <c s="379" r="CV34" t="n">
        <f>IF(CV$6=0,0,(J34*J$6+AB34*AB$6+AT34*AT$6+BL34*BL$6+CD34*CD$6)/CV$6)</f>
        <v>0</v>
      </c>
      <c s="378" r="CW34" t="n">
        <f>IF(CV$16=0,0,-CV34/CV$16)</f>
        <v>0</v>
      </c>
      <c s="379" r="CX34"/>
      <c s="379" r="CY34" t="n">
        <f>IF(CY$6=0,0,(M34*M$6+AE34*AE$6+AW34*AW$6+BO34*BO$6+CG34*CG$6)/CY$6)</f>
        <v>0</v>
      </c>
      <c s="378" r="CZ34" t="n">
        <f>IF(CY$16=0,0,-CY34/CY$16)</f>
        <v>0</v>
      </c>
      <c s="379" r="DA34"/>
      <c s="379" r="DB34" t="n">
        <f>IF(DB$6=0,0,(P34*P$6+AH34*AH$6+AZ34*AZ$6+BR34*BR$6+CJ34*CJ$6)/DB$6)</f>
        <v>0</v>
      </c>
      <c s="378" r="DC34" t="n">
        <f>IF(DB$16=0,0,-DB34/DB$16)</f>
        <v>0</v>
      </c>
      <c s="339" r="DD34"/>
      <c s="379" r="DE34" t="n">
        <f>IF(DE$6=0,0,(S34*S$6+AK34*AK$6+BC34*BC$6+BU34*BU$6+CM34*CM$6)/DE$6)</f>
        <v>0</v>
      </c>
      <c s="378" r="DF34" t="n">
        <f>IF(DE$16=0,0,-DE34/DE$16)</f>
        <v>0</v>
      </c>
      <c s="364" r="DG34"/>
    </row>
    <row r="35" spans="1:111" outlineLevel="1">
      <c s="402" r="A35"/>
      <c s="391" r="B35" t="str">
        <v>             -折旧-模具</v>
      </c>
      <c s="336" r="C35"/>
      <c s="404" r="D35"/>
      <c s="394" r="E35" t="n">
        <f>IF(D$16=0,0,-D35/D$16)</f>
        <v>0</v>
      </c>
      <c s="339" r="F35"/>
      <c s="404" r="G35"/>
      <c s="394" r="H35" t="n">
        <f>IF(G$16=0,0,-G35/G$16)</f>
        <v>0</v>
      </c>
      <c s="339" r="I35"/>
      <c s="404" r="J35"/>
      <c s="394" r="K35" t="n">
        <f>IF(J$16=0,0,-J35/J$16)</f>
        <v>0</v>
      </c>
      <c s="339" r="L35"/>
      <c s="404" r="M35"/>
      <c s="394" r="N35" t="n">
        <f>IF(M$16=0,0,-M35/M$16)</f>
        <v>0</v>
      </c>
      <c s="339" r="O35"/>
      <c s="404" r="P35"/>
      <c s="394" r="Q35" t="n">
        <f>IF(P$16=0,0,-P35/P$16)</f>
        <v>0</v>
      </c>
      <c s="324" r="R35"/>
      <c s="393" r="S35" t="n">
        <f>IF(S$6=0,0,(D35*D$6+G35*G$6+J35*J$6+M35*M$6+P35*P$6)/S$6)</f>
        <v>0</v>
      </c>
      <c s="394" r="T35" t="n">
        <f>IF(S$16=0,0,-S35/S$16)</f>
        <v>0</v>
      </c>
      <c s="324" r="U35"/>
      <c s="404" r="V35"/>
      <c s="394" r="W35" t="n">
        <f>IF(V$16=0,0,-V35/V$16)</f>
        <v>0</v>
      </c>
      <c s="405" r="X35"/>
      <c s="404" r="Y35"/>
      <c s="394" r="Z35" t="n">
        <f>IF(Y$16=0,0,-Y35/Y$16)</f>
        <v>0</v>
      </c>
      <c s="405" r="AA35"/>
      <c s="404" r="AB35"/>
      <c s="394" r="AC35" t="n">
        <f>IF(AB$16=0,0,-AB35/AB$16)</f>
        <v>0</v>
      </c>
      <c s="339" r="AD35"/>
      <c s="404" r="AE35"/>
      <c s="394" r="AF35" t="n">
        <f>IF(AE$16=0,0,-AE35/AE$16)</f>
        <v>0</v>
      </c>
      <c s="339" r="AG35"/>
      <c s="404" r="AH35"/>
      <c s="394" r="AI35" t="n">
        <f>IF(AH$16=0,0,-AH35/AH$16)</f>
        <v>0</v>
      </c>
      <c s="324" r="AJ35"/>
      <c s="393" r="AK35" t="n">
        <f>IF(AK$6=0,0,(V35*V$6+Y35*Y$6+AB35*AB$6+AE35*AE$6+AH35*AH$6)/AK$6)</f>
        <v>0</v>
      </c>
      <c s="394" r="AL35" t="n">
        <f>IF(AK$16=0,0,-AK35/AK$16)</f>
        <v>0</v>
      </c>
      <c s="324" r="AM35"/>
      <c s="404" r="AN35"/>
      <c s="394" r="AO35" t="n">
        <f>IF(AN$16=0,0,-AN35/AN$16)</f>
        <v>0</v>
      </c>
      <c s="405" r="AP35"/>
      <c s="404" r="AQ35"/>
      <c s="394" r="AR35" t="n">
        <f>IF(AQ$16=0,0,-AQ35/AQ$16)</f>
        <v>0</v>
      </c>
      <c s="405" r="AS35"/>
      <c s="404" r="AT35"/>
      <c s="394" r="AU35" t="n">
        <f>IF(AT$16=0,0,-AT35/AT$16)</f>
        <v>0</v>
      </c>
      <c s="339" r="AV35"/>
      <c s="404" r="AW35"/>
      <c s="394" r="AX35" t="n">
        <f>IF(AW$16=0,0,-AW35/AW$16)</f>
        <v>0</v>
      </c>
      <c s="339" r="AY35"/>
      <c s="404" r="AZ35"/>
      <c s="394" r="BA35" t="n">
        <f>IF(AZ$16=0,0,-AZ35/AZ$16)</f>
        <v>0</v>
      </c>
      <c s="324" r="BB35"/>
      <c s="393" r="BC35" t="n">
        <f>IF(BC$6=0,0,(AN35*AN$6+AQ35*AQ$6+AT35*AT$6+AW35*AW$6+AZ35*AZ$6)/BC$6)</f>
        <v>0</v>
      </c>
      <c s="394" r="BD35" t="n">
        <f>IF(BC$16=0,0,-BC35/BC$16)</f>
        <v>0</v>
      </c>
      <c s="324" r="BE35"/>
      <c s="404" r="BF35"/>
      <c s="394" r="BG35" t="n">
        <f>IF(BF$16=0,0,-BF35/BF$16)</f>
        <v>0</v>
      </c>
      <c s="405" r="BH35"/>
      <c s="404" r="BI35"/>
      <c s="394" r="BJ35" t="n">
        <f>IF(BI$16=0,0,-BI35/BI$16)</f>
        <v>0</v>
      </c>
      <c s="405" r="BK35"/>
      <c s="404" r="BL35"/>
      <c s="394" r="BM35" t="n">
        <f>IF(BL$16=0,0,-BL35/BL$16)</f>
        <v>0</v>
      </c>
      <c s="339" r="BN35"/>
      <c s="404" r="BO35"/>
      <c s="394" r="BP35" t="n">
        <f>IF(BO$16=0,0,-BO35/BO$16)</f>
        <v>0</v>
      </c>
      <c s="339" r="BQ35"/>
      <c s="404" r="BR35"/>
      <c s="394" r="BS35" t="n">
        <f>IF(BR$16=0,0,-BR35/BR$16)</f>
        <v>0</v>
      </c>
      <c s="324" r="BT35"/>
      <c s="393" r="BU35" t="n">
        <f>IF(BU$6=0,0,(BF35*BF$6+BI35*BI$6+BL35*BL$6+BO35*BO$6+BR35*BR$6)/BU$6)</f>
        <v>0</v>
      </c>
      <c s="398" r="BV35" t="n">
        <f>IF(BU$16=0,0,-BU35/BU$16)</f>
        <v>0</v>
      </c>
      <c s="324" r="BW35"/>
      <c s="404" r="BX35"/>
      <c s="394" r="BY35" t="n">
        <f>IF(BX$16=0,0,-BX35/BX$16)</f>
        <v>0</v>
      </c>
      <c s="405" r="BZ35"/>
      <c s="404" r="CA35"/>
      <c s="394" r="CB35" t="n">
        <f>IF(CA$16=0,0,-CA35/CA$16)</f>
        <v>0</v>
      </c>
      <c s="405" r="CC35"/>
      <c s="404" r="CD35"/>
      <c s="394" r="CE35" t="n">
        <f>IF(CD$16=0,0,-CD35/CD$16)</f>
        <v>0</v>
      </c>
      <c s="339" r="CF35"/>
      <c s="404" r="CG35"/>
      <c s="394" r="CH35" t="n">
        <f>IF(CG$16=0,0,-CG35/CG$16)</f>
        <v>0</v>
      </c>
      <c s="339" r="CI35"/>
      <c s="404" r="CJ35"/>
      <c s="394" r="CK35" t="n">
        <f>IF(CJ$16=0,0,-CJ35/CJ$16)</f>
        <v>0</v>
      </c>
      <c s="324" r="CL35"/>
      <c s="393" r="CM35" t="n">
        <f>IF(CM$6=0,0,(BX35*BX$6+CA35*CA$6+CD35*CD$6+CG35*CG$6+CJ35*CJ$6)/CM$6)</f>
        <v>0</v>
      </c>
      <c s="398" r="CN35" t="n">
        <f>IF(CM$16=0,0,-CM35/CM$16)</f>
        <v>0</v>
      </c>
      <c s="325" r="CO35"/>
      <c s="379" r="CP35" t="n">
        <f>IF(CP$6=0,0,(D35*D$6+V35*V$6+AN35*AN$6+BF35*BF$6+BX35*BX$6)/CP$6)</f>
        <v>0</v>
      </c>
      <c s="378" r="CQ35" t="n">
        <f>IF(CP$16=0,0,-CP35/CP$16)</f>
        <v>0</v>
      </c>
      <c s="379" r="CR35"/>
      <c s="379" r="CS35" t="n">
        <f>IF(CS$6=0,0,(G35*G$6+Y35*Y$6+AQ35*AQ$6+BI35*BI$6+CA35*CA$6)/CS$6)</f>
        <v>0</v>
      </c>
      <c s="378" r="CT35" t="n">
        <f>IF(CS$16=0,0,-CS35/CS$16)</f>
        <v>0</v>
      </c>
      <c s="379" r="CU35"/>
      <c s="379" r="CV35" t="n">
        <f>IF(CV$6=0,0,(J35*J$6+AB35*AB$6+AT35*AT$6+BL35*BL$6+CD35*CD$6)/CV$6)</f>
        <v>0</v>
      </c>
      <c s="378" r="CW35" t="n">
        <f>IF(CV$16=0,0,-CV35/CV$16)</f>
        <v>0</v>
      </c>
      <c s="379" r="CX35"/>
      <c s="379" r="CY35" t="n">
        <f>IF(CY$6=0,0,(M35*M$6+AE35*AE$6+AW35*AW$6+BO35*BO$6+CG35*CG$6)/CY$6)</f>
        <v>0</v>
      </c>
      <c s="378" r="CZ35" t="n">
        <f>IF(CY$16=0,0,-CY35/CY$16)</f>
        <v>0</v>
      </c>
      <c s="379" r="DA35"/>
      <c s="379" r="DB35" t="n">
        <f>IF(DB$6=0,0,(P35*P$6+AH35*AH$6+AZ35*AZ$6+BR35*BR$6+CJ35*CJ$6)/DB$6)</f>
        <v>0</v>
      </c>
      <c s="378" r="DC35" t="n">
        <f>IF(DB$16=0,0,-DB35/DB$16)</f>
        <v>0</v>
      </c>
      <c s="339" r="DD35"/>
      <c s="379" r="DE35" t="n">
        <f>IF(DE$6=0,0,(S35*S$6+AK35*AK$6+BC35*BC$6+BU35*BU$6+CM35*CM$6)/DE$6)</f>
        <v>0</v>
      </c>
      <c s="378" r="DF35" t="n">
        <f>IF(DE$16=0,0,-DE35/DE$16)</f>
        <v>0</v>
      </c>
      <c s="364" r="DG35"/>
    </row>
    <row r="36" spans="1:111" outlineLevel="1">
      <c s="402" r="A36"/>
      <c s="391" r="B36" t="str">
        <v>             -物流inhouse</v>
      </c>
      <c s="336" r="C36"/>
      <c s="404" r="D36"/>
      <c s="394" r="E36" t="n">
        <f>IF(D$16=0,0,-D36/D$16)</f>
        <v>0</v>
      </c>
      <c s="339" r="F36"/>
      <c s="404" r="G36"/>
      <c s="394" r="H36" t="n">
        <f>IF(G$16=0,0,-G36/G$16)</f>
        <v>0</v>
      </c>
      <c s="339" r="I36"/>
      <c s="404" r="J36"/>
      <c s="394" r="K36" t="n">
        <f>IF(J$16=0,0,-J36/J$16)</f>
        <v>0</v>
      </c>
      <c s="339" r="L36"/>
      <c s="404" r="M36"/>
      <c s="394" r="N36" t="n">
        <f>IF(M$16=0,0,-M36/M$16)</f>
        <v>0</v>
      </c>
      <c s="339" r="O36"/>
      <c s="404" r="P36"/>
      <c s="394" r="Q36" t="n">
        <f>IF(P$16=0,0,-P36/P$16)</f>
        <v>0</v>
      </c>
      <c s="324" r="R36"/>
      <c s="393" r="S36" t="n">
        <f>IF(S$6=0,0,(D36*D$6+G36*G$6+J36*J$6+M36*M$6+P36*P$6)/S$6)</f>
        <v>0</v>
      </c>
      <c s="394" r="T36" t="n">
        <f>IF(S$16=0,0,-S36/S$16)</f>
        <v>0</v>
      </c>
      <c s="324" r="U36"/>
      <c s="404" r="V36"/>
      <c s="394" r="W36" t="n">
        <f>IF(V$16=0,0,-V36/V$16)</f>
        <v>0</v>
      </c>
      <c s="405" r="X36"/>
      <c s="404" r="Y36"/>
      <c s="394" r="Z36" t="n">
        <f>IF(Y$16=0,0,-Y36/Y$16)</f>
        <v>0</v>
      </c>
      <c s="405" r="AA36"/>
      <c s="404" r="AB36"/>
      <c s="394" r="AC36" t="n">
        <f>IF(AB$16=0,0,-AB36/AB$16)</f>
        <v>0</v>
      </c>
      <c s="339" r="AD36"/>
      <c s="404" r="AE36"/>
      <c s="394" r="AF36" t="n">
        <f>IF(AE$16=0,0,-AE36/AE$16)</f>
        <v>0</v>
      </c>
      <c s="339" r="AG36"/>
      <c s="404" r="AH36"/>
      <c s="394" r="AI36" t="n">
        <f>IF(AH$16=0,0,-AH36/AH$16)</f>
        <v>0</v>
      </c>
      <c s="324" r="AJ36"/>
      <c s="393" r="AK36" t="n">
        <f>IF(AK$6=0,0,(V36*V$6+Y36*Y$6+AB36*AB$6+AE36*AE$6+AH36*AH$6)/AK$6)</f>
        <v>0</v>
      </c>
      <c s="394" r="AL36" t="n">
        <f>IF(AK$16=0,0,-AK36/AK$16)</f>
        <v>0</v>
      </c>
      <c s="324" r="AM36"/>
      <c s="404" r="AN36"/>
      <c s="394" r="AO36" t="n">
        <f>IF(AN$16=0,0,-AN36/AN$16)</f>
        <v>0</v>
      </c>
      <c s="405" r="AP36"/>
      <c s="404" r="AQ36"/>
      <c s="394" r="AR36" t="n">
        <f>IF(AQ$16=0,0,-AQ36/AQ$16)</f>
        <v>0</v>
      </c>
      <c s="405" r="AS36"/>
      <c s="404" r="AT36"/>
      <c s="394" r="AU36" t="n">
        <f>IF(AT$16=0,0,-AT36/AT$16)</f>
        <v>0</v>
      </c>
      <c s="339" r="AV36"/>
      <c s="404" r="AW36"/>
      <c s="394" r="AX36" t="n">
        <f>IF(AW$16=0,0,-AW36/AW$16)</f>
        <v>0</v>
      </c>
      <c s="339" r="AY36"/>
      <c s="404" r="AZ36"/>
      <c s="394" r="BA36" t="n">
        <f>IF(AZ$16=0,0,-AZ36/AZ$16)</f>
        <v>0</v>
      </c>
      <c s="324" r="BB36"/>
      <c s="393" r="BC36" t="n">
        <f>IF(BC$6=0,0,(AN36*AN$6+AQ36*AQ$6+AT36*AT$6+AW36*AW$6+AZ36*AZ$6)/BC$6)</f>
        <v>0</v>
      </c>
      <c s="394" r="BD36" t="n">
        <f>IF(BC$16=0,0,-BC36/BC$16)</f>
        <v>0</v>
      </c>
      <c s="324" r="BE36"/>
      <c s="404" r="BF36"/>
      <c s="394" r="BG36" t="n">
        <f>IF(BF$16=0,0,-BF36/BF$16)</f>
        <v>0</v>
      </c>
      <c s="405" r="BH36"/>
      <c s="404" r="BI36"/>
      <c s="394" r="BJ36" t="n">
        <f>IF(BI$16=0,0,-BI36/BI$16)</f>
        <v>0</v>
      </c>
      <c s="405" r="BK36"/>
      <c s="404" r="BL36"/>
      <c s="394" r="BM36" t="n">
        <f>IF(BL$16=0,0,-BL36/BL$16)</f>
        <v>0</v>
      </c>
      <c s="339" r="BN36"/>
      <c s="404" r="BO36"/>
      <c s="394" r="BP36" t="n">
        <f>IF(BO$16=0,0,-BO36/BO$16)</f>
        <v>0</v>
      </c>
      <c s="339" r="BQ36"/>
      <c s="404" r="BR36"/>
      <c s="394" r="BS36" t="n">
        <f>IF(BR$16=0,0,-BR36/BR$16)</f>
        <v>0</v>
      </c>
      <c s="324" r="BT36"/>
      <c s="393" r="BU36" t="n">
        <f>IF(BU$6=0,0,(BF36*BF$6+BI36*BI$6+BL36*BL$6+BO36*BO$6+BR36*BR$6)/BU$6)</f>
        <v>0</v>
      </c>
      <c s="398" r="BV36" t="n">
        <f>IF(BU$16=0,0,-BU36/BU$16)</f>
        <v>0</v>
      </c>
      <c s="324" r="BW36"/>
      <c s="404" r="BX36"/>
      <c s="394" r="BY36" t="n">
        <f>IF(BX$16=0,0,-BX36/BX$16)</f>
        <v>0</v>
      </c>
      <c s="405" r="BZ36"/>
      <c s="404" r="CA36"/>
      <c s="394" r="CB36" t="n">
        <f>IF(CA$16=0,0,-CA36/CA$16)</f>
        <v>0</v>
      </c>
      <c s="405" r="CC36"/>
      <c s="404" r="CD36"/>
      <c s="394" r="CE36" t="n">
        <f>IF(CD$16=0,0,-CD36/CD$16)</f>
        <v>0</v>
      </c>
      <c s="339" r="CF36"/>
      <c s="404" r="CG36"/>
      <c s="394" r="CH36" t="n">
        <f>IF(CG$16=0,0,-CG36/CG$16)</f>
        <v>0</v>
      </c>
      <c s="339" r="CI36"/>
      <c s="404" r="CJ36"/>
      <c s="394" r="CK36" t="n">
        <f>IF(CJ$16=0,0,-CJ36/CJ$16)</f>
        <v>0</v>
      </c>
      <c s="324" r="CL36"/>
      <c s="393" r="CM36" t="n">
        <f>IF(CM$6=0,0,(BX36*BX$6+CA36*CA$6+CD36*CD$6+CG36*CG$6+CJ36*CJ$6)/CM$6)</f>
        <v>0</v>
      </c>
      <c s="398" r="CN36" t="n">
        <f>IF(CM$16=0,0,-CM36/CM$16)</f>
        <v>0</v>
      </c>
      <c s="325" r="CO36"/>
      <c s="379" r="CP36" t="n">
        <f>IF(CP$6=0,0,(D36*D$6+V36*V$6+AN36*AN$6+BF36*BF$6+BX36*BX$6)/CP$6)</f>
        <v>0</v>
      </c>
      <c s="378" r="CQ36" t="n">
        <f>IF(CP$16=0,0,-CP36/CP$16)</f>
        <v>0</v>
      </c>
      <c s="379" r="CR36"/>
      <c s="379" r="CS36" t="n">
        <f>IF(CS$6=0,0,(G36*G$6+Y36*Y$6+AQ36*AQ$6+BI36*BI$6+CA36*CA$6)/CS$6)</f>
        <v>0</v>
      </c>
      <c s="378" r="CT36" t="n">
        <f>IF(CS$16=0,0,-CS36/CS$16)</f>
        <v>0</v>
      </c>
      <c s="379" r="CU36"/>
      <c s="379" r="CV36" t="n">
        <f>IF(CV$6=0,0,(J36*J$6+AB36*AB$6+AT36*AT$6+BL36*BL$6+CD36*CD$6)/CV$6)</f>
        <v>0</v>
      </c>
      <c s="378" r="CW36" t="n">
        <f>IF(CV$16=0,0,-CV36/CV$16)</f>
        <v>0</v>
      </c>
      <c s="379" r="CX36"/>
      <c s="379" r="CY36" t="n">
        <f>IF(CY$6=0,0,(M36*M$6+AE36*AE$6+AW36*AW$6+BO36*BO$6+CG36*CG$6)/CY$6)</f>
        <v>0</v>
      </c>
      <c s="378" r="CZ36" t="n">
        <f>IF(CY$16=0,0,-CY36/CY$16)</f>
        <v>0</v>
      </c>
      <c s="379" r="DA36"/>
      <c s="379" r="DB36" t="n">
        <f>IF(DB$6=0,0,(P36*P$6+AH36*AH$6+AZ36*AZ$6+BR36*BR$6+CJ36*CJ$6)/DB$6)</f>
        <v>0</v>
      </c>
      <c s="378" r="DC36" t="n">
        <f>IF(DB$16=0,0,-DB36/DB$16)</f>
        <v>0</v>
      </c>
      <c s="339" r="DD36"/>
      <c s="379" r="DE36" t="n">
        <f>IF(DE$6=0,0,(S36*S$6+AK36*AK$6+BC36*BC$6+BU36*BU$6+CM36*CM$6)/DE$6)</f>
        <v>0</v>
      </c>
      <c s="378" r="DF36" t="n">
        <f>IF(DE$16=0,0,-DE36/DE$16)</f>
        <v>0</v>
      </c>
      <c s="364" r="DG36"/>
    </row>
    <row r="37" spans="1:111" outlineLevel="1">
      <c s="402" r="A37"/>
      <c s="391" r="B37" t="str">
        <v>             -其它</v>
      </c>
      <c s="336" r="C37"/>
      <c s="404" r="D37"/>
      <c s="394" r="E37" t="n">
        <f>IF(D$16=0,0,-D37/D$16)</f>
        <v>0</v>
      </c>
      <c s="339" r="F37"/>
      <c s="404" r="G37"/>
      <c s="394" r="H37" t="n">
        <f>IF(G$16=0,0,-G37/G$16)</f>
        <v>0</v>
      </c>
      <c s="339" r="I37"/>
      <c s="404" r="J37"/>
      <c s="394" r="K37" t="n">
        <f>IF(J$16=0,0,-J37/J$16)</f>
        <v>0</v>
      </c>
      <c s="339" r="L37"/>
      <c s="404" r="M37"/>
      <c s="394" r="N37" t="n">
        <f>IF(M$16=0,0,-M37/M$16)</f>
        <v>0</v>
      </c>
      <c s="339" r="O37"/>
      <c s="404" r="P37"/>
      <c s="394" r="Q37" t="n">
        <f>IF(P$16=0,0,-P37/P$16)</f>
        <v>0</v>
      </c>
      <c s="324" r="R37"/>
      <c s="393" r="S37" t="n">
        <f>IF(S$6=0,0,(D37*D$6+G37*G$6+J37*J$6+M37*M$6+P37*P$6)/S$6)</f>
        <v>0</v>
      </c>
      <c s="394" r="T37" t="n">
        <f>IF(S$16=0,0,-S37/S$16)</f>
        <v>0</v>
      </c>
      <c s="324" r="U37"/>
      <c s="404" r="V37"/>
      <c s="394" r="W37" t="n">
        <f>IF(V$16=0,0,-V37/V$16)</f>
        <v>0</v>
      </c>
      <c s="405" r="X37"/>
      <c s="404" r="Y37"/>
      <c s="394" r="Z37" t="n">
        <f>IF(Y$16=0,0,-Y37/Y$16)</f>
        <v>0</v>
      </c>
      <c s="405" r="AA37"/>
      <c s="404" r="AB37"/>
      <c s="394" r="AC37" t="n">
        <f>IF(AB$16=0,0,-AB37/AB$16)</f>
        <v>0</v>
      </c>
      <c s="339" r="AD37"/>
      <c s="404" r="AE37"/>
      <c s="394" r="AF37" t="n">
        <f>IF(AE$16=0,0,-AE37/AE$16)</f>
        <v>0</v>
      </c>
      <c s="339" r="AG37"/>
      <c s="404" r="AH37"/>
      <c s="394" r="AI37" t="n">
        <f>IF(AH$16=0,0,-AH37/AH$16)</f>
        <v>0</v>
      </c>
      <c s="324" r="AJ37"/>
      <c s="393" r="AK37" t="n">
        <f>IF(AK$6=0,0,(V37*V$6+Y37*Y$6+AB37*AB$6+AE37*AE$6+AH37*AH$6)/AK$6)</f>
        <v>0</v>
      </c>
      <c s="394" r="AL37" t="n">
        <f>IF(AK$16=0,0,-AK37/AK$16)</f>
        <v>0</v>
      </c>
      <c s="324" r="AM37"/>
      <c s="404" r="AN37"/>
      <c s="394" r="AO37" t="n">
        <f>IF(AN$16=0,0,-AN37/AN$16)</f>
        <v>0</v>
      </c>
      <c s="405" r="AP37"/>
      <c s="404" r="AQ37"/>
      <c s="394" r="AR37" t="n">
        <f>IF(AQ$16=0,0,-AQ37/AQ$16)</f>
        <v>0</v>
      </c>
      <c s="405" r="AS37"/>
      <c s="404" r="AT37"/>
      <c s="394" r="AU37" t="n">
        <f>IF(AT$16=0,0,-AT37/AT$16)</f>
        <v>0</v>
      </c>
      <c s="339" r="AV37"/>
      <c s="404" r="AW37"/>
      <c s="394" r="AX37" t="n">
        <f>IF(AW$16=0,0,-AW37/AW$16)</f>
        <v>0</v>
      </c>
      <c s="339" r="AY37"/>
      <c s="404" r="AZ37"/>
      <c s="394" r="BA37" t="n">
        <f>IF(AZ$16=0,0,-AZ37/AZ$16)</f>
        <v>0</v>
      </c>
      <c s="324" r="BB37"/>
      <c s="393" r="BC37" t="n">
        <f>IF(BC$6=0,0,(AN37*AN$6+AQ37*AQ$6+AT37*AT$6+AW37*AW$6+AZ37*AZ$6)/BC$6)</f>
        <v>0</v>
      </c>
      <c s="394" r="BD37" t="n">
        <f>IF(BC$16=0,0,-BC37/BC$16)</f>
        <v>0</v>
      </c>
      <c s="324" r="BE37"/>
      <c s="404" r="BF37"/>
      <c s="394" r="BG37" t="n">
        <f>IF(BF$16=0,0,-BF37/BF$16)</f>
        <v>0</v>
      </c>
      <c s="405" r="BH37"/>
      <c s="404" r="BI37"/>
      <c s="394" r="BJ37" t="n">
        <f>IF(BI$16=0,0,-BI37/BI$16)</f>
        <v>0</v>
      </c>
      <c s="405" r="BK37"/>
      <c s="404" r="BL37"/>
      <c s="394" r="BM37" t="n">
        <f>IF(BL$16=0,0,-BL37/BL$16)</f>
        <v>0</v>
      </c>
      <c s="339" r="BN37"/>
      <c s="404" r="BO37"/>
      <c s="394" r="BP37" t="n">
        <f>IF(BO$16=0,0,-BO37/BO$16)</f>
        <v>0</v>
      </c>
      <c s="339" r="BQ37"/>
      <c s="404" r="BR37"/>
      <c s="394" r="BS37" t="n">
        <f>IF(BR$16=0,0,-BR37/BR$16)</f>
        <v>0</v>
      </c>
      <c s="324" r="BT37"/>
      <c s="393" r="BU37" t="n">
        <f>IF(BU$6=0,0,(BF37*BF$6+BI37*BI$6+BL37*BL$6+BO37*BO$6+BR37*BR$6)/BU$6)</f>
        <v>0</v>
      </c>
      <c s="398" r="BV37" t="n">
        <f>IF(BU$16=0,0,-BU37/BU$16)</f>
        <v>0</v>
      </c>
      <c s="324" r="BW37"/>
      <c s="404" r="BX37"/>
      <c s="394" r="BY37" t="n">
        <f>IF(BX$16=0,0,-BX37/BX$16)</f>
        <v>0</v>
      </c>
      <c s="405" r="BZ37"/>
      <c s="404" r="CA37"/>
      <c s="394" r="CB37" t="n">
        <f>IF(CA$16=0,0,-CA37/CA$16)</f>
        <v>0</v>
      </c>
      <c s="405" r="CC37"/>
      <c s="404" r="CD37"/>
      <c s="394" r="CE37" t="n">
        <f>IF(CD$16=0,0,-CD37/CD$16)</f>
        <v>0</v>
      </c>
      <c s="339" r="CF37"/>
      <c s="404" r="CG37"/>
      <c s="394" r="CH37" t="n">
        <f>IF(CG$16=0,0,-CG37/CG$16)</f>
        <v>0</v>
      </c>
      <c s="339" r="CI37"/>
      <c s="404" r="CJ37"/>
      <c s="394" r="CK37" t="n">
        <f>IF(CJ$16=0,0,-CJ37/CJ$16)</f>
        <v>0</v>
      </c>
      <c s="324" r="CL37"/>
      <c s="393" r="CM37" t="n">
        <f>IF(CM$6=0,0,(BX37*BX$6+CA37*CA$6+CD37*CD$6+CG37*CG$6+CJ37*CJ$6)/CM$6)</f>
        <v>0</v>
      </c>
      <c s="398" r="CN37" t="n">
        <f>IF(CM$16=0,0,-CM37/CM$16)</f>
        <v>0</v>
      </c>
      <c s="325" r="CO37"/>
      <c s="379" r="CP37" t="n">
        <f>IF(CP$6=0,0,(D37*D$6+V37*V$6+AN37*AN$6+BF37*BF$6+BX37*BX$6)/CP$6)</f>
        <v>0</v>
      </c>
      <c s="378" r="CQ37" t="n">
        <f>IF(CP$16=0,0,-CP37/CP$16)</f>
        <v>0</v>
      </c>
      <c s="379" r="CR37"/>
      <c s="379" r="CS37" t="n">
        <f>IF(CS$6=0,0,(G37*G$6+Y37*Y$6+AQ37*AQ$6+BI37*BI$6+CA37*CA$6)/CS$6)</f>
        <v>0</v>
      </c>
      <c s="378" r="CT37" t="n">
        <f>IF(CS$16=0,0,-CS37/CS$16)</f>
        <v>0</v>
      </c>
      <c s="379" r="CU37"/>
      <c s="379" r="CV37" t="n">
        <f>IF(CV$6=0,0,(J37*J$6+AB37*AB$6+AT37*AT$6+BL37*BL$6+CD37*CD$6)/CV$6)</f>
        <v>0</v>
      </c>
      <c s="378" r="CW37" t="n">
        <f>IF(CV$16=0,0,-CV37/CV$16)</f>
        <v>0</v>
      </c>
      <c s="379" r="CX37"/>
      <c s="379" r="CY37" t="n">
        <f>IF(CY$6=0,0,(M37*M$6+AE37*AE$6+AW37*AW$6+BO37*BO$6+CG37*CG$6)/CY$6)</f>
        <v>0</v>
      </c>
      <c s="378" r="CZ37" t="n">
        <f>IF(CY$16=0,0,-CY37/CY$16)</f>
        <v>0</v>
      </c>
      <c s="379" r="DA37"/>
      <c s="379" r="DB37" t="n">
        <f>IF(DB$6=0,0,(P37*P$6+AH37*AH$6+AZ37*AZ$6+BR37*BR$6+CJ37*CJ$6)/DB$6)</f>
        <v>0</v>
      </c>
      <c s="378" r="DC37" t="n">
        <f>IF(DB$16=0,0,-DB37/DB$16)</f>
        <v>0</v>
      </c>
      <c s="339" r="DD37"/>
      <c s="379" r="DE37" t="n">
        <f>IF(DE$6=0,0,(S37*S$6+AK37*AK$6+BC37*BC$6+BU37*BU$6+CM37*CM$6)/DE$6)</f>
        <v>0</v>
      </c>
      <c s="378" r="DF37" t="n">
        <f>IF(DE$16=0,0,-DE37/DE$16)</f>
        <v>0</v>
      </c>
      <c s="364" r="DG37"/>
    </row>
    <row r="38" spans="1:111" ht="16.05" customHeight="1">
      <c s="406" r="A38"/>
      <c s="407" r="B38" t="str">
        <v>      运费保险&amp;清关费</v>
      </c>
      <c s="336" r="C38"/>
      <c s="338" r="D38" t="n">
        <f>SUM(D39:D42)</f>
        <v>0</v>
      </c>
      <c s="361" r="E38" t="n">
        <f>IF(D$16=0,0,-D38/D$16)</f>
        <v>0</v>
      </c>
      <c s="339" r="F38"/>
      <c s="338" r="G38" t="n">
        <f>SUM(G39:G42)</f>
        <v>0</v>
      </c>
      <c s="361" r="H38" t="n">
        <f>IF(G$16=0,0,-G38/G$16)</f>
        <v>0</v>
      </c>
      <c s="339" r="I38"/>
      <c s="338" r="J38" t="n">
        <f>SUM(J39:J42)</f>
        <v>0</v>
      </c>
      <c s="361" r="K38" t="n">
        <f>IF(J$16=0,0,-J38/J$16)</f>
        <v>0</v>
      </c>
      <c s="339" r="L38"/>
      <c s="338" r="M38" t="n">
        <f>SUM(M39:M42)</f>
        <v>0</v>
      </c>
      <c s="361" r="N38" t="n">
        <f>IF(M$16=0,0,-M38/M$16)</f>
        <v>0</v>
      </c>
      <c s="326" r="O38"/>
      <c s="338" r="P38" t="n">
        <f>SUM(P39:P42)</f>
        <v>0</v>
      </c>
      <c s="361" r="Q38" t="n">
        <f>IF(P$16=0,0,-P38/P$16)</f>
        <v>0</v>
      </c>
      <c s="346" r="R38"/>
      <c s="339" r="S38" t="n">
        <f>IF(S$6=0,0,(D38*D$6+G38*G$6+J38*J$6+M38*M$6+P38*P$6)/S$6)</f>
        <v>0</v>
      </c>
      <c s="361" r="T38" t="n">
        <f>IF(S$16=0,0,-S38/S$16)</f>
        <v>0</v>
      </c>
      <c s="324" r="U38"/>
      <c s="338" r="V38" t="n">
        <f>SUM(V39:V42)</f>
        <v>0</v>
      </c>
      <c s="361" r="W38" t="n">
        <f>IF(V$16=0,0,-V38/V$16)</f>
        <v>0</v>
      </c>
      <c s="339" r="X38"/>
      <c s="338" r="Y38" t="n">
        <f>SUM(Y39:Y42)</f>
        <v>0</v>
      </c>
      <c s="361" r="Z38" t="n">
        <f>IF(Y$16=0,0,-Y38/Y$16)</f>
        <v>0</v>
      </c>
      <c s="339" r="AA38"/>
      <c s="338" r="AB38" t="n">
        <f>SUM(AB39:AB42)</f>
        <v>0</v>
      </c>
      <c s="361" r="AC38" t="n">
        <f>IF(AB$16=0,0,-AB38/AB$16)</f>
        <v>0</v>
      </c>
      <c s="339" r="AD38"/>
      <c s="338" r="AE38" t="n">
        <f>SUM(AE39:AE42)</f>
        <v>0</v>
      </c>
      <c s="361" r="AF38" t="n">
        <f>IF(AE$16=0,0,-AE38/AE$16)</f>
        <v>0</v>
      </c>
      <c s="326" r="AG38"/>
      <c s="338" r="AH38" t="n">
        <f>SUM(AH39:AH42)</f>
        <v>0</v>
      </c>
      <c s="361" r="AI38" t="n">
        <f>IF(AH$16=0,0,-AH38/AH$16)</f>
        <v>0</v>
      </c>
      <c s="346" r="AJ38"/>
      <c s="339" r="AK38" t="n">
        <f>IF(AK$6=0,0,(V38*V$6+Y38*Y$6+AB38*AB$6+AE38*AE$6+AH38*AH$6)/AK$6)</f>
        <v>0</v>
      </c>
      <c s="361" r="AL38" t="n">
        <f>IF(AK$16=0,0,-AK38/AK$16)</f>
        <v>0</v>
      </c>
      <c s="324" r="AM38"/>
      <c s="338" r="AN38" t="n">
        <f>SUM(AN39:AN42)</f>
        <v>0</v>
      </c>
      <c s="361" r="AO38" t="n">
        <f>IF(AN$16=0,0,-AN38/AN$16)</f>
        <v>0</v>
      </c>
      <c s="339" r="AP38"/>
      <c s="338" r="AQ38" t="n">
        <f>SUM(AQ39:AQ42)</f>
        <v>0</v>
      </c>
      <c s="361" r="AR38" t="n">
        <f>IF(AQ$16=0,0,-AQ38/AQ$16)</f>
        <v>0</v>
      </c>
      <c s="339" r="AS38"/>
      <c s="338" r="AT38" t="n">
        <f>SUM(AT39:AT42)</f>
        <v>0</v>
      </c>
      <c s="361" r="AU38" t="n">
        <f>IF(AT$16=0,0,-AT38/AT$16)</f>
        <v>0</v>
      </c>
      <c s="339" r="AV38"/>
      <c s="338" r="AW38" t="n">
        <f>SUM(AW39:AW42)</f>
        <v>0</v>
      </c>
      <c s="361" r="AX38" t="n">
        <f>IF(AW$16=0,0,-AW38/AW$16)</f>
        <v>0</v>
      </c>
      <c s="326" r="AY38"/>
      <c s="338" r="AZ38" t="n">
        <f>SUM(AZ39:AZ42)</f>
        <v>0</v>
      </c>
      <c s="361" r="BA38" t="n">
        <f>IF(AZ$16=0,0,-AZ38/AZ$16)</f>
        <v>0</v>
      </c>
      <c s="346" r="BB38"/>
      <c s="339" r="BC38" t="n">
        <f>IF(BC$6=0,0,(AN38*AN$6+AQ38*AQ$6+AT38*AT$6+AW38*AW$6+AZ38*AZ$6)/BC$6)</f>
        <v>0</v>
      </c>
      <c s="361" r="BD38" t="n">
        <f>IF(BC$16=0,0,-BC38/BC$16)</f>
        <v>0</v>
      </c>
      <c s="324" r="BE38"/>
      <c s="338" r="BF38" t="n">
        <f>SUM(BF39:BF42)</f>
        <v>0</v>
      </c>
      <c s="361" r="BG38" t="n">
        <f>IF(BF$16=0,0,-BF38/BF$16)</f>
        <v>0</v>
      </c>
      <c s="339" r="BH38"/>
      <c s="338" r="BI38" t="n">
        <f>SUM(BI39:BI42)</f>
        <v>0</v>
      </c>
      <c s="361" r="BJ38" t="n">
        <f>IF(BI$16=0,0,-BI38/BI$16)</f>
        <v>0</v>
      </c>
      <c s="339" r="BK38"/>
      <c s="338" r="BL38" t="n">
        <f>SUM(BL39:BL42)</f>
        <v>0</v>
      </c>
      <c s="361" r="BM38" t="n">
        <f>IF(BL$16=0,0,-BL38/BL$16)</f>
        <v>0</v>
      </c>
      <c s="339" r="BN38"/>
      <c s="338" r="BO38" t="n">
        <f>SUM(BO39:BO42)</f>
        <v>0</v>
      </c>
      <c s="361" r="BP38" t="n">
        <f>IF(BO$16=0,0,-BO38/BO$16)</f>
        <v>0</v>
      </c>
      <c s="326" r="BQ38"/>
      <c s="338" r="BR38" t="n">
        <f>SUM(BR39:BR42)</f>
        <v>0</v>
      </c>
      <c s="361" r="BS38" t="n">
        <f>IF(BR$16=0,0,-BR38/BR$16)</f>
        <v>0</v>
      </c>
      <c s="346" r="BT38"/>
      <c s="339" r="BU38" t="n">
        <f>IF(BU$6=0,0,(BF38*BF$6+BI38*BI$6+BL38*BL$6+BO38*BO$6+BR38*BR$6)/BU$6)</f>
        <v>0</v>
      </c>
      <c s="342" r="BV38" t="n">
        <f>IF(BU$16=0,0,-BU38/BU$16)</f>
        <v>0</v>
      </c>
      <c s="324" r="BW38"/>
      <c s="338" r="BX38" t="n">
        <f>SUM(BX39:BX42)</f>
        <v>0</v>
      </c>
      <c s="361" r="BY38" t="n">
        <f>IF(BX$16=0,0,-BX38/BX$16)</f>
        <v>0</v>
      </c>
      <c s="339" r="BZ38"/>
      <c s="338" r="CA38" t="n">
        <f>SUM(CA39:CA42)</f>
        <v>0</v>
      </c>
      <c s="361" r="CB38" t="n">
        <f>IF(CA$16=0,0,-CA38/CA$16)</f>
        <v>0</v>
      </c>
      <c s="339" r="CC38"/>
      <c s="338" r="CD38" t="n">
        <f>SUM(CD39:CD42)</f>
        <v>0</v>
      </c>
      <c s="361" r="CE38" t="n">
        <f>IF(CD$16=0,0,-CD38/CD$16)</f>
        <v>0</v>
      </c>
      <c s="339" r="CF38"/>
      <c s="338" r="CG38" t="n">
        <f>SUM(CG39:CG42)</f>
        <v>0</v>
      </c>
      <c s="361" r="CH38" t="n">
        <f>IF(CG$16=0,0,-CG38/CG$16)</f>
        <v>0</v>
      </c>
      <c s="326" r="CI38"/>
      <c s="338" r="CJ38" t="n">
        <f>SUM(CJ39:CJ42)</f>
        <v>0</v>
      </c>
      <c s="361" r="CK38" t="n">
        <f>IF(CJ$16=0,0,-CJ38/CJ$16)</f>
        <v>0</v>
      </c>
      <c s="346" r="CL38"/>
      <c s="339" r="CM38" t="n">
        <f>IF(CM$6=0,0,(BX38*BX$6+CA38*CA$6+CD38*CD$6+CG38*CG$6+CJ38*CJ$6)/CM$6)</f>
        <v>0</v>
      </c>
      <c s="342" r="CN38" t="n">
        <f>IF(CM$16=0,0,-CM38/CM$16)</f>
        <v>0</v>
      </c>
      <c s="325" r="CO38"/>
      <c s="368" r="CP38" t="n">
        <f>IF(CP$6=0,0,(D38*D$6+V38*V$6+AN38*AN$6+BF38*BF$6+BX38*BX$6)/CP$6)</f>
        <v>0</v>
      </c>
      <c s="372" r="CQ38" t="n">
        <f>IF(CP$16=0,0,-CP38/CP$16)</f>
        <v>0</v>
      </c>
      <c s="379" r="CR38"/>
      <c s="368" r="CS38" t="n">
        <f>IF(CS$6=0,0,(G38*G$6+Y38*Y$6+AQ38*AQ$6+BI38*BI$6+CA38*CA$6)/CS$6)</f>
        <v>0</v>
      </c>
      <c s="372" r="CT38" t="n">
        <f>IF(CS$16=0,0,-CS38/CS$16)</f>
        <v>0</v>
      </c>
      <c s="368" r="CU38"/>
      <c s="368" r="CV38" t="n">
        <f>IF(CV$6=0,0,(J38*J$6+AB38*AB$6+AT38*AT$6+BL38*BL$6+CD38*CD$6)/CV$6)</f>
        <v>0</v>
      </c>
      <c s="372" r="CW38" t="n">
        <f>IF(CV$16=0,0,-CV38/CV$16)</f>
        <v>0</v>
      </c>
      <c s="368" r="CX38"/>
      <c s="368" r="CY38" t="n">
        <f>IF(CY$6=0,0,(M38*M$6+AE38*AE$6+AW38*AW$6+BO38*BO$6+CG38*CG$6)/CY$6)</f>
        <v>0</v>
      </c>
      <c s="372" r="CZ38" t="n">
        <f>IF(CY$16=0,0,-CY38/CY$16)</f>
        <v>0</v>
      </c>
      <c s="368" r="DA38"/>
      <c s="368" r="DB38" t="n">
        <f>IF(DB$6=0,0,(P38*P$6+AH38*AH$6+AZ38*AZ$6+BR38*BR$6+CJ38*CJ$6)/DB$6)</f>
        <v>0</v>
      </c>
      <c s="372" r="DC38" t="n">
        <f>IF(DB$16=0,0,-DB38/DB$16)</f>
        <v>0</v>
      </c>
      <c s="339" r="DD38"/>
      <c s="339" r="DE38" t="n">
        <f>IF(DE$6=0,0,(S38*S$6+AK38*AK$6+BC38*BC$6+BU38*BU$6+CM38*CM$6)/DE$6)</f>
        <v>0</v>
      </c>
      <c s="342" r="DF38" t="n">
        <f>IF(DE$16=0,0,-DE38/DE$16)</f>
        <v>0</v>
      </c>
      <c s="380" r="DG38"/>
    </row>
    <row r="39" spans="1:111" ht="16.05" customHeight="1" outlineLevel="1">
      <c s="408" r="A39"/>
      <c s="409" r="B39" t="str">
        <v>            -集港运费+报关</v>
      </c>
      <c s="388" r="C39"/>
      <c s="404" r="D39"/>
      <c s="394" r="E39" t="n">
        <f>IF(D$16=0,0,-D39/D$16)</f>
        <v>0</v>
      </c>
      <c s="339" r="F39"/>
      <c s="404" r="G39"/>
      <c s="394" r="H39" t="n">
        <f>IF(G$16=0,0,-G39/G$16)</f>
        <v>0</v>
      </c>
      <c s="339" r="I39"/>
      <c s="404" r="J39"/>
      <c s="394" r="K39" t="n">
        <f>IF(J$16=0,0,-J39/J$16)</f>
        <v>0</v>
      </c>
      <c s="339" r="L39"/>
      <c s="404" r="M39"/>
      <c s="394" r="N39" t="n">
        <f>IF(M$16=0,0,-M39/M$16)</f>
        <v>0</v>
      </c>
      <c s="326" r="O39"/>
      <c s="404" r="P39"/>
      <c s="394" r="Q39" t="n">
        <f>IF(P$16=0,0,-P39/P$16)</f>
        <v>0</v>
      </c>
      <c s="346" r="R39"/>
      <c s="393" r="S39" t="n">
        <f>IF(S$6=0,0,(D39*D$6+G39*G$6+J39*J$6+M39*M$6+P39*P$6)/S$6)</f>
        <v>0</v>
      </c>
      <c s="394" r="T39" t="n">
        <f>IF(S$16=0,0,-S39/S$16)</f>
        <v>0</v>
      </c>
      <c s="324" r="U39"/>
      <c s="404" r="V39"/>
      <c s="394" r="W39" t="n">
        <f>IF(V$16=0,0,-V39/V$16)</f>
        <v>0</v>
      </c>
      <c s="339" r="X39"/>
      <c s="404" r="Y39"/>
      <c s="394" r="Z39" t="n">
        <f>IF(Y$16=0,0,-Y39/Y$16)</f>
        <v>0</v>
      </c>
      <c s="339" r="AA39"/>
      <c s="404" r="AB39"/>
      <c s="394" r="AC39" t="n">
        <f>IF(AB$16=0,0,-AB39/AB$16)</f>
        <v>0</v>
      </c>
      <c s="339" r="AD39"/>
      <c s="404" r="AE39"/>
      <c s="394" r="AF39" t="n">
        <f>IF(AE$16=0,0,-AE39/AE$16)</f>
        <v>0</v>
      </c>
      <c s="326" r="AG39"/>
      <c s="404" r="AH39"/>
      <c s="394" r="AI39" t="n">
        <f>IF(AH$16=0,0,-AH39/AH$16)</f>
        <v>0</v>
      </c>
      <c s="346" r="AJ39"/>
      <c s="393" r="AK39" t="n">
        <f>IF(AK$6=0,0,(V39*V$6+Y39*Y$6+AB39*AB$6+AE39*AE$6+AH39*AH$6)/AK$6)</f>
        <v>0</v>
      </c>
      <c s="394" r="AL39" t="n">
        <f>IF(AK$16=0,0,-AK39/AK$16)</f>
        <v>0</v>
      </c>
      <c s="324" r="AM39"/>
      <c s="404" r="AN39"/>
      <c s="394" r="AO39" t="n">
        <f>IF(AN$16=0,0,-AN39/AN$16)</f>
        <v>0</v>
      </c>
      <c s="339" r="AP39"/>
      <c s="404" r="AQ39"/>
      <c s="394" r="AR39" t="n">
        <f>IF(AQ$16=0,0,-AQ39/AQ$16)</f>
        <v>0</v>
      </c>
      <c s="339" r="AS39"/>
      <c s="404" r="AT39"/>
      <c s="394" r="AU39" t="n">
        <f>IF(AT$16=0,0,-AT39/AT$16)</f>
        <v>0</v>
      </c>
      <c s="339" r="AV39"/>
      <c s="404" r="AW39"/>
      <c s="394" r="AX39" t="n">
        <f>IF(AW$16=0,0,-AW39/AW$16)</f>
        <v>0</v>
      </c>
      <c s="326" r="AY39"/>
      <c s="404" r="AZ39"/>
      <c s="394" r="BA39" t="n">
        <f>IF(AZ$16=0,0,-AZ39/AZ$16)</f>
        <v>0</v>
      </c>
      <c s="346" r="BB39"/>
      <c s="393" r="BC39" t="n">
        <f>IF(BC$6=0,0,(AN39*AN$6+AQ39*AQ$6+AT39*AT$6+AW39*AW$6+AZ39*AZ$6)/BC$6)</f>
        <v>0</v>
      </c>
      <c s="394" r="BD39" t="n">
        <f>IF(BC$16=0,0,-BC39/BC$16)</f>
        <v>0</v>
      </c>
      <c s="324" r="BE39"/>
      <c s="404" r="BF39"/>
      <c s="394" r="BG39" t="n">
        <f>IF(BF$16=0,0,-BF39/BF$16)</f>
        <v>0</v>
      </c>
      <c s="339" r="BH39"/>
      <c s="404" r="BI39"/>
      <c s="394" r="BJ39" t="n">
        <f>IF(BI$16=0,0,-BI39/BI$16)</f>
        <v>0</v>
      </c>
      <c s="339" r="BK39"/>
      <c s="404" r="BL39"/>
      <c s="394" r="BM39" t="n">
        <f>IF(BL$16=0,0,-BL39/BL$16)</f>
        <v>0</v>
      </c>
      <c s="339" r="BN39"/>
      <c s="404" r="BO39"/>
      <c s="394" r="BP39" t="n">
        <f>IF(BO$16=0,0,-BO39/BO$16)</f>
        <v>0</v>
      </c>
      <c s="326" r="BQ39"/>
      <c s="404" r="BR39"/>
      <c s="394" r="BS39" t="n">
        <f>IF(BR$16=0,0,-BR39/BR$16)</f>
        <v>0</v>
      </c>
      <c s="346" r="BT39"/>
      <c s="393" r="BU39" t="n">
        <f>IF(BU$6=0,0,(BF39*BF$6+BI39*BI$6+BL39*BL$6+BO39*BO$6+BR39*BR$6)/BU$6)</f>
        <v>0</v>
      </c>
      <c s="398" r="BV39" t="n">
        <f>IF(BU$16=0,0,-BU39/BU$16)</f>
        <v>0</v>
      </c>
      <c s="324" r="BW39"/>
      <c s="404" r="BX39"/>
      <c s="394" r="BY39" t="n">
        <f>IF(BX$16=0,0,-BX39/BX$16)</f>
        <v>0</v>
      </c>
      <c s="339" r="BZ39"/>
      <c s="404" r="CA39"/>
      <c s="394" r="CB39" t="n">
        <f>IF(CA$16=0,0,-CA39/CA$16)</f>
        <v>0</v>
      </c>
      <c s="339" r="CC39"/>
      <c s="404" r="CD39"/>
      <c s="394" r="CE39" t="n">
        <f>IF(CD$16=0,0,-CD39/CD$16)</f>
        <v>0</v>
      </c>
      <c s="339" r="CF39"/>
      <c s="404" r="CG39"/>
      <c s="394" r="CH39" t="n">
        <f>IF(CG$16=0,0,-CG39/CG$16)</f>
        <v>0</v>
      </c>
      <c s="326" r="CI39"/>
      <c s="404" r="CJ39"/>
      <c s="394" r="CK39" t="n">
        <f>IF(CJ$16=0,0,-CJ39/CJ$16)</f>
        <v>0</v>
      </c>
      <c s="346" r="CL39"/>
      <c s="393" r="CM39" t="n">
        <f>IF(CM$6=0,0,(BX39*BX$6+CA39*CA$6+CD39*CD$6+CG39*CG$6+CJ39*CJ$6)/CM$6)</f>
        <v>0</v>
      </c>
      <c s="398" r="CN39" t="n">
        <f>IF(CM$16=0,0,-CM39/CM$16)</f>
        <v>0</v>
      </c>
      <c s="325" r="CO39"/>
      <c s="379" r="CP39" t="n">
        <f>IF(CP$6=0,0,(D39*D$6+V39*V$6+AN39*AN$6+BF39*BF$6+BX39*BX$6)/CP$6)</f>
        <v>0</v>
      </c>
      <c s="378" r="CQ39" t="n">
        <f>IF(CP$16=0,0,-CP39/CP$16)</f>
        <v>0</v>
      </c>
      <c s="379" r="CR39"/>
      <c s="379" r="CS39" t="n">
        <f>IF(CS$6=0,0,(G39*G$6+Y39*Y$6+AQ39*AQ$6+BI39*BI$6+CA39*CA$6)/CS$6)</f>
        <v>0</v>
      </c>
      <c s="378" r="CT39" t="n">
        <f>IF(CS$16=0,0,-CS39/CS$16)</f>
        <v>0</v>
      </c>
      <c s="379" r="CU39"/>
      <c s="379" r="CV39" t="n">
        <f>IF(CV$6=0,0,(J39*J$6+AB39*AB$6+AT39*AT$6+BL39*BL$6+CD39*CD$6)/CV$6)</f>
        <v>0</v>
      </c>
      <c s="378" r="CW39" t="n">
        <f>IF(CV$16=0,0,-CV39/CV$16)</f>
        <v>0</v>
      </c>
      <c s="379" r="CX39"/>
      <c s="379" r="CY39" t="n">
        <f>IF(CY$6=0,0,(M39*M$6+AE39*AE$6+AW39*AW$6+BO39*BO$6+CG39*CG$6)/CY$6)</f>
        <v>0</v>
      </c>
      <c s="378" r="CZ39" t="n">
        <f>IF(CY$16=0,0,-CY39/CY$16)</f>
        <v>0</v>
      </c>
      <c s="379" r="DA39"/>
      <c s="379" r="DB39" t="n">
        <f>IF(DB$6=0,0,(P39*P$6+AH39*AH$6+AZ39*AZ$6+BR39*BR$6+CJ39*CJ$6)/DB$6)</f>
        <v>0</v>
      </c>
      <c s="378" r="DC39" t="n">
        <f>IF(DB$16=0,0,-DB39/DB$16)</f>
        <v>0</v>
      </c>
      <c s="339" r="DD39"/>
      <c s="379" r="DE39" t="n">
        <f>IF(DE$6=0,0,(S39*S$6+AK39*AK$6+BC39*BC$6+BU39*BU$6+CM39*CM$6)/DE$6)</f>
        <v>0</v>
      </c>
      <c s="378" r="DF39" t="n">
        <f>IF(DE$16=0,0,-DE39/DE$16)</f>
        <v>0</v>
      </c>
      <c s="386" r="DG39"/>
    </row>
    <row r="40" spans="1:111" ht="16.05" customHeight="1" outlineLevel="1">
      <c s="408" r="A40"/>
      <c s="409" r="B40" t="str">
        <v>            -海运</v>
      </c>
      <c s="388" r="C40"/>
      <c s="404" r="D40"/>
      <c s="394" r="E40" t="n">
        <f>IF(D$16=0,0,-D40/D$16)</f>
        <v>0</v>
      </c>
      <c s="339" r="F40"/>
      <c s="404" r="G40"/>
      <c s="394" r="H40" t="n">
        <f>IF(G$16=0,0,-G40/G$16)</f>
        <v>0</v>
      </c>
      <c s="339" r="I40"/>
      <c s="404" r="J40"/>
      <c s="394" r="K40" t="n">
        <f>IF(J$16=0,0,-J40/J$16)</f>
        <v>0</v>
      </c>
      <c s="339" r="L40"/>
      <c s="404" r="M40"/>
      <c s="394" r="N40" t="n">
        <f>IF(M$16=0,0,-M40/M$16)</f>
        <v>0</v>
      </c>
      <c s="326" r="O40"/>
      <c s="404" r="P40"/>
      <c s="394" r="Q40" t="n">
        <f>IF(P$16=0,0,-P40/P$16)</f>
        <v>0</v>
      </c>
      <c s="346" r="R40"/>
      <c s="393" r="S40" t="n">
        <f>IF(S$6=0,0,(D40*D$6+G40*G$6+J40*J$6+M40*M$6+P40*P$6)/S$6)</f>
        <v>0</v>
      </c>
      <c s="394" r="T40" t="n">
        <f>IF(S$16=0,0,-S40/S$16)</f>
        <v>0</v>
      </c>
      <c s="324" r="U40"/>
      <c s="404" r="V40"/>
      <c s="394" r="W40" t="n">
        <f>IF(V$16=0,0,-V40/V$16)</f>
        <v>0</v>
      </c>
      <c s="339" r="X40"/>
      <c s="404" r="Y40"/>
      <c s="394" r="Z40" t="n">
        <f>IF(Y$16=0,0,-Y40/Y$16)</f>
        <v>0</v>
      </c>
      <c s="339" r="AA40"/>
      <c s="404" r="AB40"/>
      <c s="394" r="AC40" t="n">
        <f>IF(AB$16=0,0,-AB40/AB$16)</f>
        <v>0</v>
      </c>
      <c s="339" r="AD40"/>
      <c s="404" r="AE40"/>
      <c s="394" r="AF40" t="n">
        <f>IF(AE$16=0,0,-AE40/AE$16)</f>
        <v>0</v>
      </c>
      <c s="326" r="AG40"/>
      <c s="404" r="AH40"/>
      <c s="394" r="AI40" t="n">
        <f>IF(AH$16=0,0,-AH40/AH$16)</f>
        <v>0</v>
      </c>
      <c s="346" r="AJ40"/>
      <c s="393" r="AK40" t="n">
        <f>IF(AK$6=0,0,(V40*V$6+Y40*Y$6+AB40*AB$6+AE40*AE$6+AH40*AH$6)/AK$6)</f>
        <v>0</v>
      </c>
      <c s="394" r="AL40" t="n">
        <f>IF(AK$16=0,0,-AK40/AK$16)</f>
        <v>0</v>
      </c>
      <c s="324" r="AM40"/>
      <c s="404" r="AN40"/>
      <c s="394" r="AO40" t="n">
        <f>IF(AN$16=0,0,-AN40/AN$16)</f>
        <v>0</v>
      </c>
      <c s="339" r="AP40"/>
      <c s="404" r="AQ40"/>
      <c s="394" r="AR40" t="n">
        <f>IF(AQ$16=0,0,-AQ40/AQ$16)</f>
        <v>0</v>
      </c>
      <c s="339" r="AS40"/>
      <c s="404" r="AT40"/>
      <c s="394" r="AU40" t="n">
        <f>IF(AT$16=0,0,-AT40/AT$16)</f>
        <v>0</v>
      </c>
      <c s="339" r="AV40"/>
      <c s="404" r="AW40"/>
      <c s="394" r="AX40" t="n">
        <f>IF(AW$16=0,0,-AW40/AW$16)</f>
        <v>0</v>
      </c>
      <c s="326" r="AY40"/>
      <c s="404" r="AZ40"/>
      <c s="394" r="BA40" t="n">
        <f>IF(AZ$16=0,0,-AZ40/AZ$16)</f>
        <v>0</v>
      </c>
      <c s="346" r="BB40"/>
      <c s="393" r="BC40" t="n">
        <f>IF(BC$6=0,0,(AN40*AN$6+AQ40*AQ$6+AT40*AT$6+AW40*AW$6+AZ40*AZ$6)/BC$6)</f>
        <v>0</v>
      </c>
      <c s="394" r="BD40" t="n">
        <f>IF(BC$16=0,0,-BC40/BC$16)</f>
        <v>0</v>
      </c>
      <c s="324" r="BE40"/>
      <c s="404" r="BF40"/>
      <c s="394" r="BG40" t="n">
        <f>IF(BF$16=0,0,-BF40/BF$16)</f>
        <v>0</v>
      </c>
      <c s="339" r="BH40"/>
      <c s="404" r="BI40"/>
      <c s="394" r="BJ40" t="n">
        <f>IF(BI$16=0,0,-BI40/BI$16)</f>
        <v>0</v>
      </c>
      <c s="339" r="BK40"/>
      <c s="404" r="BL40"/>
      <c s="394" r="BM40" t="n">
        <f>IF(BL$16=0,0,-BL40/BL$16)</f>
        <v>0</v>
      </c>
      <c s="339" r="BN40"/>
      <c s="404" r="BO40"/>
      <c s="394" r="BP40" t="n">
        <f>IF(BO$16=0,0,-BO40/BO$16)</f>
        <v>0</v>
      </c>
      <c s="326" r="BQ40"/>
      <c s="404" r="BR40"/>
      <c s="394" r="BS40" t="n">
        <f>IF(BR$16=0,0,-BR40/BR$16)</f>
        <v>0</v>
      </c>
      <c s="346" r="BT40"/>
      <c s="393" r="BU40" t="n">
        <f>IF(BU$6=0,0,(BF40*BF$6+BI40*BI$6+BL40*BL$6+BO40*BO$6+BR40*BR$6)/BU$6)</f>
        <v>0</v>
      </c>
      <c s="398" r="BV40" t="n">
        <f>IF(BU$16=0,0,-BU40/BU$16)</f>
        <v>0</v>
      </c>
      <c s="324" r="BW40"/>
      <c s="404" r="BX40"/>
      <c s="394" r="BY40" t="n">
        <f>IF(BX$16=0,0,-BX40/BX$16)</f>
        <v>0</v>
      </c>
      <c s="339" r="BZ40"/>
      <c s="404" r="CA40"/>
      <c s="394" r="CB40" t="n">
        <f>IF(CA$16=0,0,-CA40/CA$16)</f>
        <v>0</v>
      </c>
      <c s="339" r="CC40"/>
      <c s="404" r="CD40"/>
      <c s="394" r="CE40" t="n">
        <f>IF(CD$16=0,0,-CD40/CD$16)</f>
        <v>0</v>
      </c>
      <c s="339" r="CF40"/>
      <c s="404" r="CG40"/>
      <c s="394" r="CH40" t="n">
        <f>IF(CG$16=0,0,-CG40/CG$16)</f>
        <v>0</v>
      </c>
      <c s="326" r="CI40"/>
      <c s="404" r="CJ40"/>
      <c s="394" r="CK40" t="n">
        <f>IF(CJ$16=0,0,-CJ40/CJ$16)</f>
        <v>0</v>
      </c>
      <c s="346" r="CL40"/>
      <c s="393" r="CM40" t="n">
        <f>IF(CM$6=0,0,(BX40*BX$6+CA40*CA$6+CD40*CD$6+CG40*CG$6+CJ40*CJ$6)/CM$6)</f>
        <v>0</v>
      </c>
      <c s="398" r="CN40" t="n">
        <f>IF(CM$16=0,0,-CM40/CM$16)</f>
        <v>0</v>
      </c>
      <c s="325" r="CO40"/>
      <c s="379" r="CP40" t="n">
        <f>IF(CP$6=0,0,(D40*D$6+V40*V$6+AN40*AN$6+BF40*BF$6+BX40*BX$6)/CP$6)</f>
        <v>0</v>
      </c>
      <c s="378" r="CQ40" t="n">
        <f>IF(CP$16=0,0,-CP40/CP$16)</f>
        <v>0</v>
      </c>
      <c s="379" r="CR40"/>
      <c s="379" r="CS40" t="n">
        <f>IF(CS$6=0,0,(G40*G$6+Y40*Y$6+AQ40*AQ$6+BI40*BI$6+CA40*CA$6)/CS$6)</f>
        <v>0</v>
      </c>
      <c s="378" r="CT40" t="n">
        <f>IF(CS$16=0,0,-CS40/CS$16)</f>
        <v>0</v>
      </c>
      <c s="379" r="CU40"/>
      <c s="379" r="CV40" t="n">
        <f>IF(CV$6=0,0,(J40*J$6+AB40*AB$6+AT40*AT$6+BL40*BL$6+CD40*CD$6)/CV$6)</f>
        <v>0</v>
      </c>
      <c s="378" r="CW40" t="n">
        <f>IF(CV$16=0,0,-CV40/CV$16)</f>
        <v>0</v>
      </c>
      <c s="379" r="CX40"/>
      <c s="379" r="CY40" t="n">
        <f>IF(CY$6=0,0,(M40*M$6+AE40*AE$6+AW40*AW$6+BO40*BO$6+CG40*CG$6)/CY$6)</f>
        <v>0</v>
      </c>
      <c s="378" r="CZ40" t="n">
        <f>IF(CY$16=0,0,-CY40/CY$16)</f>
        <v>0</v>
      </c>
      <c s="379" r="DA40"/>
      <c s="379" r="DB40" t="n">
        <f>IF(DB$6=0,0,(P40*P$6+AH40*AH$6+AZ40*AZ$6+BR40*BR$6+CJ40*CJ$6)/DB$6)</f>
        <v>0</v>
      </c>
      <c s="378" r="DC40" t="n">
        <f>IF(DB$16=0,0,-DB40/DB$16)</f>
        <v>0</v>
      </c>
      <c s="339" r="DD40"/>
      <c s="379" r="DE40" t="n">
        <f>IF(DE$6=0,0,(S40*S$6+AK40*AK$6+BC40*BC$6+BU40*BU$6+CM40*CM$6)/DE$6)</f>
        <v>0</v>
      </c>
      <c s="378" r="DF40" t="n">
        <f>IF(DE$16=0,0,-DE40/DE$16)</f>
        <v>0</v>
      </c>
      <c s="386" r="DG40"/>
    </row>
    <row r="41" spans="1:111" ht="16.05" customHeight="1" outlineLevel="1">
      <c s="408" r="A41"/>
      <c s="409" r="B41" t="str">
        <v>            -保险</v>
      </c>
      <c s="388" r="C41"/>
      <c s="404" r="D41"/>
      <c s="394" r="E41" t="n">
        <f>IF(D$16=0,0,-D41/D$16)</f>
        <v>0</v>
      </c>
      <c s="339" r="F41"/>
      <c s="404" r="G41"/>
      <c s="394" r="H41" t="n">
        <f>IF(G$16=0,0,-G41/G$16)</f>
        <v>0</v>
      </c>
      <c s="339" r="I41"/>
      <c s="404" r="J41"/>
      <c s="394" r="K41" t="n">
        <f>IF(J$16=0,0,-J41/J$16)</f>
        <v>0</v>
      </c>
      <c s="339" r="L41"/>
      <c s="404" r="M41"/>
      <c s="394" r="N41" t="n">
        <f>IF(M$16=0,0,-M41/M$16)</f>
        <v>0</v>
      </c>
      <c s="326" r="O41"/>
      <c s="404" r="P41"/>
      <c s="394" r="Q41" t="n">
        <f>IF(P$16=0,0,-P41/P$16)</f>
        <v>0</v>
      </c>
      <c s="346" r="R41"/>
      <c s="393" r="S41" t="n">
        <f>IF(S$6=0,0,(D41*D$6+G41*G$6+J41*J$6+M41*M$6+P41*P$6)/S$6)</f>
        <v>0</v>
      </c>
      <c s="394" r="T41" t="n">
        <f>IF(S$16=0,0,-S41/S$16)</f>
        <v>0</v>
      </c>
      <c s="324" r="U41"/>
      <c s="404" r="V41"/>
      <c s="394" r="W41" t="n">
        <f>IF(V$16=0,0,-V41/V$16)</f>
        <v>0</v>
      </c>
      <c s="339" r="X41"/>
      <c s="404" r="Y41"/>
      <c s="394" r="Z41" t="n">
        <f>IF(Y$16=0,0,-Y41/Y$16)</f>
        <v>0</v>
      </c>
      <c s="339" r="AA41"/>
      <c s="404" r="AB41"/>
      <c s="394" r="AC41" t="n">
        <f>IF(AB$16=0,0,-AB41/AB$16)</f>
        <v>0</v>
      </c>
      <c s="339" r="AD41"/>
      <c s="404" r="AE41"/>
      <c s="394" r="AF41" t="n">
        <f>IF(AE$16=0,0,-AE41/AE$16)</f>
        <v>0</v>
      </c>
      <c s="326" r="AG41"/>
      <c s="404" r="AH41"/>
      <c s="394" r="AI41" t="n">
        <f>IF(AH$16=0,0,-AH41/AH$16)</f>
        <v>0</v>
      </c>
      <c s="346" r="AJ41"/>
      <c s="393" r="AK41" t="n">
        <f>IF(AK$6=0,0,(V41*V$6+Y41*Y$6+AB41*AB$6+AE41*AE$6+AH41*AH$6)/AK$6)</f>
        <v>0</v>
      </c>
      <c s="394" r="AL41" t="n">
        <f>IF(AK$16=0,0,-AK41/AK$16)</f>
        <v>0</v>
      </c>
      <c s="324" r="AM41"/>
      <c s="404" r="AN41"/>
      <c s="394" r="AO41" t="n">
        <f>IF(AN$16=0,0,-AN41/AN$16)</f>
        <v>0</v>
      </c>
      <c s="339" r="AP41"/>
      <c s="404" r="AQ41"/>
      <c s="394" r="AR41" t="n">
        <f>IF(AQ$16=0,0,-AQ41/AQ$16)</f>
        <v>0</v>
      </c>
      <c s="339" r="AS41"/>
      <c s="404" r="AT41"/>
      <c s="394" r="AU41" t="n">
        <f>IF(AT$16=0,0,-AT41/AT$16)</f>
        <v>0</v>
      </c>
      <c s="339" r="AV41"/>
      <c s="404" r="AW41"/>
      <c s="394" r="AX41" t="n">
        <f>IF(AW$16=0,0,-AW41/AW$16)</f>
        <v>0</v>
      </c>
      <c s="326" r="AY41"/>
      <c s="404" r="AZ41"/>
      <c s="394" r="BA41" t="n">
        <f>IF(AZ$16=0,0,-AZ41/AZ$16)</f>
        <v>0</v>
      </c>
      <c s="346" r="BB41"/>
      <c s="393" r="BC41" t="n">
        <f>IF(BC$6=0,0,(AN41*AN$6+AQ41*AQ$6+AT41*AT$6+AW41*AW$6+AZ41*AZ$6)/BC$6)</f>
        <v>0</v>
      </c>
      <c s="394" r="BD41" t="n">
        <f>IF(BC$16=0,0,-BC41/BC$16)</f>
        <v>0</v>
      </c>
      <c s="324" r="BE41"/>
      <c s="404" r="BF41"/>
      <c s="394" r="BG41" t="n">
        <f>IF(BF$16=0,0,-BF41/BF$16)</f>
        <v>0</v>
      </c>
      <c s="339" r="BH41"/>
      <c s="404" r="BI41"/>
      <c s="394" r="BJ41" t="n">
        <f>IF(BI$16=0,0,-BI41/BI$16)</f>
        <v>0</v>
      </c>
      <c s="339" r="BK41"/>
      <c s="404" r="BL41"/>
      <c s="394" r="BM41" t="n">
        <f>IF(BL$16=0,0,-BL41/BL$16)</f>
        <v>0</v>
      </c>
      <c s="339" r="BN41"/>
      <c s="404" r="BO41"/>
      <c s="394" r="BP41" t="n">
        <f>IF(BO$16=0,0,-BO41/BO$16)</f>
        <v>0</v>
      </c>
      <c s="326" r="BQ41"/>
      <c s="404" r="BR41"/>
      <c s="394" r="BS41" t="n">
        <f>IF(BR$16=0,0,-BR41/BR$16)</f>
        <v>0</v>
      </c>
      <c s="346" r="BT41"/>
      <c s="393" r="BU41" t="n">
        <f>IF(BU$6=0,0,(BF41*BF$6+BI41*BI$6+BL41*BL$6+BO41*BO$6+BR41*BR$6)/BU$6)</f>
        <v>0</v>
      </c>
      <c s="398" r="BV41" t="n">
        <f>IF(BU$16=0,0,-BU41/BU$16)</f>
        <v>0</v>
      </c>
      <c s="324" r="BW41"/>
      <c s="404" r="BX41"/>
      <c s="394" r="BY41" t="n">
        <f>IF(BX$16=0,0,-BX41/BX$16)</f>
        <v>0</v>
      </c>
      <c s="339" r="BZ41"/>
      <c s="404" r="CA41"/>
      <c s="394" r="CB41" t="n">
        <f>IF(CA$16=0,0,-CA41/CA$16)</f>
        <v>0</v>
      </c>
      <c s="339" r="CC41"/>
      <c s="404" r="CD41"/>
      <c s="394" r="CE41" t="n">
        <f>IF(CD$16=0,0,-CD41/CD$16)</f>
        <v>0</v>
      </c>
      <c s="339" r="CF41"/>
      <c s="404" r="CG41"/>
      <c s="394" r="CH41" t="n">
        <f>IF(CG$16=0,0,-CG41/CG$16)</f>
        <v>0</v>
      </c>
      <c s="326" r="CI41"/>
      <c s="404" r="CJ41"/>
      <c s="394" r="CK41" t="n">
        <f>IF(CJ$16=0,0,-CJ41/CJ$16)</f>
        <v>0</v>
      </c>
      <c s="346" r="CL41"/>
      <c s="393" r="CM41" t="n">
        <f>IF(CM$6=0,0,(BX41*BX$6+CA41*CA$6+CD41*CD$6+CG41*CG$6+CJ41*CJ$6)/CM$6)</f>
        <v>0</v>
      </c>
      <c s="398" r="CN41" t="n">
        <f>IF(CM$16=0,0,-CM41/CM$16)</f>
        <v>0</v>
      </c>
      <c s="325" r="CO41"/>
      <c s="379" r="CP41" t="n">
        <f>IF(CP$6=0,0,(D41*D$6+V41*V$6+AN41*AN$6+BF41*BF$6+BX41*BX$6)/CP$6)</f>
        <v>0</v>
      </c>
      <c s="378" r="CQ41" t="n">
        <f>IF(CP$16=0,0,-CP41/CP$16)</f>
        <v>0</v>
      </c>
      <c s="379" r="CR41"/>
      <c s="379" r="CS41" t="n">
        <f>IF(CS$6=0,0,(G41*G$6+Y41*Y$6+AQ41*AQ$6+BI41*BI$6+CA41*CA$6)/CS$6)</f>
        <v>0</v>
      </c>
      <c s="378" r="CT41" t="n">
        <f>IF(CS$16=0,0,-CS41/CS$16)</f>
        <v>0</v>
      </c>
      <c s="379" r="CU41"/>
      <c s="379" r="CV41" t="n">
        <f>IF(CV$6=0,0,(J41*J$6+AB41*AB$6+AT41*AT$6+BL41*BL$6+CD41*CD$6)/CV$6)</f>
        <v>0</v>
      </c>
      <c s="378" r="CW41" t="n">
        <f>IF(CV$16=0,0,-CV41/CV$16)</f>
        <v>0</v>
      </c>
      <c s="379" r="CX41"/>
      <c s="379" r="CY41" t="n">
        <f>IF(CY$6=0,0,(M41*M$6+AE41*AE$6+AW41*AW$6+BO41*BO$6+CG41*CG$6)/CY$6)</f>
        <v>0</v>
      </c>
      <c s="378" r="CZ41" t="n">
        <f>IF(CY$16=0,0,-CY41/CY$16)</f>
        <v>0</v>
      </c>
      <c s="379" r="DA41"/>
      <c s="379" r="DB41" t="n">
        <f>IF(DB$6=0,0,(P41*P$6+AH41*AH$6+AZ41*AZ$6+BR41*BR$6+CJ41*CJ$6)/DB$6)</f>
        <v>0</v>
      </c>
      <c s="378" r="DC41" t="n">
        <f>IF(DB$16=0,0,-DB41/DB$16)</f>
        <v>0</v>
      </c>
      <c s="339" r="DD41"/>
      <c s="379" r="DE41" t="n">
        <f>IF(DE$6=0,0,(S41*S$6+AK41*AK$6+BC41*BC$6+BU41*BU$6+CM41*CM$6)/DE$6)</f>
        <v>0</v>
      </c>
      <c s="378" r="DF41" t="n">
        <f>IF(DE$16=0,0,-DE41/DE$16)</f>
        <v>0</v>
      </c>
      <c s="386" r="DG41"/>
    </row>
    <row r="42" spans="1:111" ht="16.05" customHeight="1" outlineLevel="1">
      <c s="408" r="A42"/>
      <c s="409" r="B42" t="str">
        <v>            -清关</v>
      </c>
      <c s="388" r="C42"/>
      <c s="404" r="D42"/>
      <c s="394" r="E42" t="n">
        <f>IF(D$16=0,0,-D42/D$16)</f>
        <v>0</v>
      </c>
      <c s="339" r="F42"/>
      <c s="404" r="G42"/>
      <c s="394" r="H42" t="n">
        <f>IF(G$16=0,0,-G42/G$16)</f>
        <v>0</v>
      </c>
      <c s="339" r="I42"/>
      <c s="404" r="J42"/>
      <c s="394" r="K42" t="n">
        <f>IF(J$16=0,0,-J42/J$16)</f>
        <v>0</v>
      </c>
      <c s="339" r="L42"/>
      <c s="404" r="M42"/>
      <c s="394" r="N42" t="n">
        <f>IF(M$16=0,0,-M42/M$16)</f>
        <v>0</v>
      </c>
      <c s="326" r="O42"/>
      <c s="404" r="P42"/>
      <c s="394" r="Q42" t="n">
        <f>IF(P$16=0,0,-P42/P$16)</f>
        <v>0</v>
      </c>
      <c s="346" r="R42"/>
      <c s="393" r="S42" t="n">
        <f>IF(S$6=0,0,(D42*D$6+G42*G$6+J42*J$6+M42*M$6+P42*P$6)/S$6)</f>
        <v>0</v>
      </c>
      <c s="394" r="T42" t="n">
        <f>IF(S$16=0,0,-S42/S$16)</f>
        <v>0</v>
      </c>
      <c s="324" r="U42"/>
      <c s="404" r="V42"/>
      <c s="394" r="W42" t="n">
        <f>IF(V$16=0,0,-V42/V$16)</f>
        <v>0</v>
      </c>
      <c s="339" r="X42"/>
      <c s="404" r="Y42"/>
      <c s="394" r="Z42" t="n">
        <f>IF(Y$16=0,0,-Y42/Y$16)</f>
        <v>0</v>
      </c>
      <c s="339" r="AA42"/>
      <c s="404" r="AB42"/>
      <c s="394" r="AC42" t="n">
        <f>IF(AB$16=0,0,-AB42/AB$16)</f>
        <v>0</v>
      </c>
      <c s="339" r="AD42"/>
      <c s="404" r="AE42"/>
      <c s="394" r="AF42" t="n">
        <f>IF(AE$16=0,0,-AE42/AE$16)</f>
        <v>0</v>
      </c>
      <c s="326" r="AG42"/>
      <c s="404" r="AH42"/>
      <c s="394" r="AI42" t="n">
        <f>IF(AH$16=0,0,-AH42/AH$16)</f>
        <v>0</v>
      </c>
      <c s="346" r="AJ42"/>
      <c s="393" r="AK42" t="n">
        <f>IF(AK$6=0,0,(V42*V$6+Y42*Y$6+AB42*AB$6+AE42*AE$6+AH42*AH$6)/AK$6)</f>
        <v>0</v>
      </c>
      <c s="394" r="AL42" t="n">
        <f>IF(AK$16=0,0,-AK42/AK$16)</f>
        <v>0</v>
      </c>
      <c s="324" r="AM42"/>
      <c s="404" r="AN42"/>
      <c s="394" r="AO42" t="n">
        <f>IF(AN$16=0,0,-AN42/AN$16)</f>
        <v>0</v>
      </c>
      <c s="339" r="AP42"/>
      <c s="404" r="AQ42"/>
      <c s="394" r="AR42" t="n">
        <f>IF(AQ$16=0,0,-AQ42/AQ$16)</f>
        <v>0</v>
      </c>
      <c s="339" r="AS42"/>
      <c s="404" r="AT42"/>
      <c s="394" r="AU42" t="n">
        <f>IF(AT$16=0,0,-AT42/AT$16)</f>
        <v>0</v>
      </c>
      <c s="339" r="AV42"/>
      <c s="404" r="AW42"/>
      <c s="394" r="AX42" t="n">
        <f>IF(AW$16=0,0,-AW42/AW$16)</f>
        <v>0</v>
      </c>
      <c s="326" r="AY42"/>
      <c s="404" r="AZ42"/>
      <c s="394" r="BA42" t="n">
        <f>IF(AZ$16=0,0,-AZ42/AZ$16)</f>
        <v>0</v>
      </c>
      <c s="346" r="BB42"/>
      <c s="393" r="BC42" t="n">
        <f>IF(BC$6=0,0,(AN42*AN$6+AQ42*AQ$6+AT42*AT$6+AW42*AW$6+AZ42*AZ$6)/BC$6)</f>
        <v>0</v>
      </c>
      <c s="394" r="BD42" t="n">
        <f>IF(BC$16=0,0,-BC42/BC$16)</f>
        <v>0</v>
      </c>
      <c s="324" r="BE42"/>
      <c s="404" r="BF42"/>
      <c s="394" r="BG42" t="n">
        <f>IF(BF$16=0,0,-BF42/BF$16)</f>
        <v>0</v>
      </c>
      <c s="339" r="BH42"/>
      <c s="404" r="BI42"/>
      <c s="394" r="BJ42" t="n">
        <f>IF(BI$16=0,0,-BI42/BI$16)</f>
        <v>0</v>
      </c>
      <c s="339" r="BK42"/>
      <c s="404" r="BL42"/>
      <c s="394" r="BM42" t="n">
        <f>IF(BL$16=0,0,-BL42/BL$16)</f>
        <v>0</v>
      </c>
      <c s="339" r="BN42"/>
      <c s="404" r="BO42"/>
      <c s="394" r="BP42" t="n">
        <f>IF(BO$16=0,0,-BO42/BO$16)</f>
        <v>0</v>
      </c>
      <c s="326" r="BQ42"/>
      <c s="404" r="BR42"/>
      <c s="394" r="BS42" t="n">
        <f>IF(BR$16=0,0,-BR42/BR$16)</f>
        <v>0</v>
      </c>
      <c s="346" r="BT42"/>
      <c s="393" r="BU42" t="n">
        <f>IF(BU$6=0,0,(BF42*BF$6+BI42*BI$6+BL42*BL$6+BO42*BO$6+BR42*BR$6)/BU$6)</f>
        <v>0</v>
      </c>
      <c s="398" r="BV42" t="n">
        <f>IF(BU$16=0,0,-BU42/BU$16)</f>
        <v>0</v>
      </c>
      <c s="324" r="BW42"/>
      <c s="404" r="BX42"/>
      <c s="394" r="BY42" t="n">
        <f>IF(BX$16=0,0,-BX42/BX$16)</f>
        <v>0</v>
      </c>
      <c s="339" r="BZ42"/>
      <c s="404" r="CA42"/>
      <c s="394" r="CB42" t="n">
        <f>IF(CA$16=0,0,-CA42/CA$16)</f>
        <v>0</v>
      </c>
      <c s="339" r="CC42"/>
      <c s="404" r="CD42"/>
      <c s="394" r="CE42" t="n">
        <f>IF(CD$16=0,0,-CD42/CD$16)</f>
        <v>0</v>
      </c>
      <c s="339" r="CF42"/>
      <c s="404" r="CG42"/>
      <c s="394" r="CH42" t="n">
        <f>IF(CG$16=0,0,-CG42/CG$16)</f>
        <v>0</v>
      </c>
      <c s="326" r="CI42"/>
      <c s="404" r="CJ42"/>
      <c s="394" r="CK42" t="n">
        <f>IF(CJ$16=0,0,-CJ42/CJ$16)</f>
        <v>0</v>
      </c>
      <c s="346" r="CL42"/>
      <c s="393" r="CM42" t="n">
        <f>IF(CM$6=0,0,(BX42*BX$6+CA42*CA$6+CD42*CD$6+CG42*CG$6+CJ42*CJ$6)/CM$6)</f>
        <v>0</v>
      </c>
      <c s="398" r="CN42" t="n">
        <f>IF(CM$16=0,0,-CM42/CM$16)</f>
        <v>0</v>
      </c>
      <c s="325" r="CO42"/>
      <c s="379" r="CP42" t="n">
        <f>IF(CP$6=0,0,(D42*D$6+V42*V$6+AN42*AN$6+BF42*BF$6+BX42*BX$6)/CP$6)</f>
        <v>0</v>
      </c>
      <c s="378" r="CQ42" t="n">
        <f>IF(CP$16=0,0,-CP42/CP$16)</f>
        <v>0</v>
      </c>
      <c s="379" r="CR42"/>
      <c s="379" r="CS42" t="n">
        <f>IF(CS$6=0,0,(G42*G$6+Y42*Y$6+AQ42*AQ$6+BI42*BI$6+CA42*CA$6)/CS$6)</f>
        <v>0</v>
      </c>
      <c s="378" r="CT42" t="n">
        <f>IF(CS$16=0,0,-CS42/CS$16)</f>
        <v>0</v>
      </c>
      <c s="379" r="CU42"/>
      <c s="379" r="CV42" t="n">
        <f>IF(CV$6=0,0,(J42*J$6+AB42*AB$6+AT42*AT$6+BL42*BL$6+CD42*CD$6)/CV$6)</f>
        <v>0</v>
      </c>
      <c s="378" r="CW42" t="n">
        <f>IF(CV$16=0,0,-CV42/CV$16)</f>
        <v>0</v>
      </c>
      <c s="379" r="CX42"/>
      <c s="379" r="CY42" t="n">
        <f>IF(CY$6=0,0,(M42*M$6+AE42*AE$6+AW42*AW$6+BO42*BO$6+CG42*CG$6)/CY$6)</f>
        <v>0</v>
      </c>
      <c s="378" r="CZ42" t="n">
        <f>IF(CY$16=0,0,-CY42/CY$16)</f>
        <v>0</v>
      </c>
      <c s="379" r="DA42"/>
      <c s="379" r="DB42" t="n">
        <f>IF(DB$6=0,0,(P42*P$6+AH42*AH$6+AZ42*AZ$6+BR42*BR$6+CJ42*CJ$6)/DB$6)</f>
        <v>0</v>
      </c>
      <c s="378" r="DC42" t="n">
        <f>IF(DB$16=0,0,-DB42/DB$16)</f>
        <v>0</v>
      </c>
      <c s="339" r="DD42"/>
      <c s="379" r="DE42" t="n">
        <f>IF(DE$6=0,0,(S42*S$6+AK42*AK$6+BC42*BC$6+BU42*BU$6+CM42*CM$6)/DE$6)</f>
        <v>0</v>
      </c>
      <c s="378" r="DF42" t="n">
        <f>IF(DE$16=0,0,-DE42/DE$16)</f>
        <v>0</v>
      </c>
      <c s="386" r="DG42"/>
    </row>
    <row r="43" spans="1:111">
      <c s="406" r="A43"/>
      <c s="403" r="B43" t="str">
        <v>      质保金</v>
      </c>
      <c s="336" r="C43"/>
      <c s="339" r="D43" t="n">
        <f>-D8*D$78</f>
        <v>0</v>
      </c>
      <c s="361" r="E43" t="n">
        <f>IF(D$16=0,0,-D43/D$16)</f>
        <v>0</v>
      </c>
      <c s="339" r="F43"/>
      <c s="339" r="G43" t="n">
        <f>-G8*G$78</f>
        <v>0</v>
      </c>
      <c s="361" r="H43" t="n">
        <f>IF(G$16=0,0,-G43/G$16)</f>
        <v>0</v>
      </c>
      <c s="339" r="I43"/>
      <c s="339" r="J43" t="n">
        <f>-J8*J$78</f>
        <v>0</v>
      </c>
      <c s="361" r="K43" t="n">
        <f>IF(J$16=0,0,-J43/J$16)</f>
        <v>0</v>
      </c>
      <c s="339" r="L43"/>
      <c s="339" r="M43" t="n">
        <f>-M8*M$78</f>
        <v>0</v>
      </c>
      <c s="361" r="N43" t="n">
        <f>IF(M$16=0,0,-M43/M$16)</f>
        <v>0</v>
      </c>
      <c s="339" r="O43"/>
      <c s="339" r="P43" t="n">
        <f>-P8*P$78</f>
        <v>0</v>
      </c>
      <c s="361" r="Q43" t="n">
        <f>IF(P$16=0,0,-P43/P$16)</f>
        <v>0</v>
      </c>
      <c s="324" r="R43"/>
      <c s="339" r="S43" t="n">
        <f>IF(S$6=0,0,(D43*D$6+G43*G$6+J43*J$6+M43*M$6+P43*P$6)/S$6)</f>
        <v>0</v>
      </c>
      <c s="361" r="T43" t="n">
        <f>IF(S$16=0,0,-S43/S$16)</f>
        <v>0</v>
      </c>
      <c s="324" r="U43"/>
      <c s="339" r="V43" t="n">
        <f>-V8*V$78</f>
        <v>0</v>
      </c>
      <c s="361" r="W43" t="n">
        <f>IF(V$16=0,0,-V43/V$16)</f>
        <v>0</v>
      </c>
      <c s="339" r="X43"/>
      <c s="339" r="Y43" t="n">
        <f>-Y8*Y$78</f>
        <v>0</v>
      </c>
      <c s="361" r="Z43" t="n">
        <f>IF(Y$16=0,0,-Y43/Y$16)</f>
        <v>0</v>
      </c>
      <c s="339" r="AA43"/>
      <c s="339" r="AB43" t="n">
        <f>-AB8*AB$78</f>
        <v>0</v>
      </c>
      <c s="361" r="AC43" t="n">
        <f>IF(AB$16=0,0,-AB43/AB$16)</f>
        <v>0</v>
      </c>
      <c s="339" r="AD43"/>
      <c s="339" r="AE43" t="n">
        <f>-AE8*AE$78</f>
        <v>0</v>
      </c>
      <c s="361" r="AF43" t="n">
        <f>IF(AE$16=0,0,-AE43/AE$16)</f>
        <v>0</v>
      </c>
      <c s="339" r="AG43"/>
      <c s="339" r="AH43" t="n">
        <f>-AH8*AH$78</f>
        <v>0</v>
      </c>
      <c s="361" r="AI43" t="n">
        <f>IF(AH$16=0,0,-AH43/AH$16)</f>
        <v>0</v>
      </c>
      <c s="324" r="AJ43"/>
      <c s="339" r="AK43" t="n">
        <f>IF(AK$6=0,0,(V43*V$6+Y43*Y$6+AB43*AB$6+AE43*AE$6+AH43*AH$6)/AK$6)</f>
        <v>0</v>
      </c>
      <c s="361" r="AL43" t="n">
        <f>IF(AK$16=0,0,-AK43/AK$16)</f>
        <v>0</v>
      </c>
      <c s="324" r="AM43"/>
      <c s="339" r="AN43" t="n">
        <f>-AN8*AN$78</f>
        <v>0</v>
      </c>
      <c s="361" r="AO43" t="n">
        <f>IF(AN$16=0,0,-AN43/AN$16)</f>
        <v>0</v>
      </c>
      <c s="339" r="AP43"/>
      <c s="339" r="AQ43" t="n">
        <f>-AQ8*AQ$78</f>
        <v>0</v>
      </c>
      <c s="361" r="AR43" t="n">
        <f>IF(AQ$16=0,0,-AQ43/AQ$16)</f>
        <v>0</v>
      </c>
      <c s="339" r="AS43"/>
      <c s="339" r="AT43" t="n">
        <f>-AT8*AT$78</f>
        <v>0</v>
      </c>
      <c s="361" r="AU43" t="n">
        <f>IF(AT$16=0,0,-AT43/AT$16)</f>
        <v>0</v>
      </c>
      <c s="339" r="AV43"/>
      <c s="339" r="AW43" t="n">
        <f>-AW8*AW$78</f>
        <v>0</v>
      </c>
      <c s="361" r="AX43" t="n">
        <f>IF(AW$16=0,0,-AW43/AW$16)</f>
        <v>0</v>
      </c>
      <c s="339" r="AY43"/>
      <c s="339" r="AZ43" t="n">
        <f>-AZ8*AZ$78</f>
        <v>0</v>
      </c>
      <c s="361" r="BA43" t="n">
        <f>IF(AZ$16=0,0,-AZ43/AZ$16)</f>
        <v>0</v>
      </c>
      <c s="324" r="BB43"/>
      <c s="339" r="BC43" t="n">
        <f>IF(BC$6=0,0,(AN43*AN$6+AQ43*AQ$6+AT43*AT$6+AW43*AW$6+AZ43*AZ$6)/BC$6)</f>
        <v>0</v>
      </c>
      <c s="342" r="BD43" t="n">
        <f>IF(BC$16=0,0,-BC43/BC$16)</f>
        <v>0</v>
      </c>
      <c s="324" r="BE43"/>
      <c s="339" r="BF43" t="n">
        <f>-BF8*BF$78</f>
        <v>0</v>
      </c>
      <c s="361" r="BG43" t="n">
        <f>IF(BF$16=0,0,-BF43/BF$16)</f>
        <v>0</v>
      </c>
      <c s="339" r="BH43"/>
      <c s="339" r="BI43" t="n">
        <f>-BI8*BI$78</f>
        <v>0</v>
      </c>
      <c s="361" r="BJ43" t="n">
        <f>IF(BI$16=0,0,-BI43/BI$16)</f>
        <v>0</v>
      </c>
      <c s="339" r="BK43"/>
      <c s="339" r="BL43" t="n">
        <f>-BL8*BL$78</f>
        <v>0</v>
      </c>
      <c s="361" r="BM43" t="n">
        <f>IF(BL$16=0,0,-BL43/BL$16)</f>
        <v>0</v>
      </c>
      <c s="339" r="BN43"/>
      <c s="339" r="BO43" t="n">
        <f>-BO8*BO$78</f>
        <v>0</v>
      </c>
      <c s="361" r="BP43" t="n">
        <f>IF(BO$16=0,0,-BO43/BO$16)</f>
        <v>0</v>
      </c>
      <c s="339" r="BQ43"/>
      <c s="339" r="BR43" t="n">
        <f>-BR8*BR$78</f>
        <v>0</v>
      </c>
      <c s="361" r="BS43" t="n">
        <f>IF(BR$16=0,0,-BR43/BR$16)</f>
        <v>0</v>
      </c>
      <c s="324" r="BT43"/>
      <c s="339" r="BU43" t="n">
        <f>IF(BU$6=0,0,(BF43*BF$6+BI43*BI$6+BL43*BL$6+BO43*BO$6+BR43*BR$6)/BU$6)</f>
        <v>0</v>
      </c>
      <c s="342" r="BV43" t="n">
        <f>IF(BU$16=0,0,-BU43/BU$16)</f>
        <v>0</v>
      </c>
      <c s="324" r="BW43"/>
      <c s="339" r="BX43" t="n">
        <f>-BX8*BX$78</f>
        <v>0</v>
      </c>
      <c s="361" r="BY43" t="n">
        <f>IF(BX$16=0,0,-BX43/BX$16)</f>
        <v>0</v>
      </c>
      <c s="339" r="BZ43"/>
      <c s="339" r="CA43" t="n">
        <f>-CA8*CA$78</f>
        <v>0</v>
      </c>
      <c s="361" r="CB43" t="n">
        <f>IF(CA$16=0,0,-CA43/CA$16)</f>
        <v>0</v>
      </c>
      <c s="339" r="CC43"/>
      <c s="339" r="CD43" t="n">
        <f>-CD8*CD$78</f>
        <v>0</v>
      </c>
      <c s="361" r="CE43" t="n">
        <f>IF(CD$16=0,0,-CD43/CD$16)</f>
        <v>0</v>
      </c>
      <c s="339" r="CF43"/>
      <c s="339" r="CG43" t="n">
        <f>-CG8*CG$78</f>
        <v>0</v>
      </c>
      <c s="361" r="CH43" t="n">
        <f>IF(CG$16=0,0,-CG43/CG$16)</f>
        <v>0</v>
      </c>
      <c s="339" r="CI43"/>
      <c s="339" r="CJ43" t="n">
        <f>-CJ8*CJ$78</f>
        <v>0</v>
      </c>
      <c s="361" r="CK43" t="n">
        <f>IF(CJ$16=0,0,-CJ43/CJ$16)</f>
        <v>0</v>
      </c>
      <c s="324" r="CL43"/>
      <c s="339" r="CM43" t="n">
        <f>IF(CM$6=0,0,(BX43*BX$6+CA43*CA$6+CD43*CD$6+CG43*CG$6+CJ43*CJ$6)/CM$6)</f>
        <v>0</v>
      </c>
      <c s="342" r="CN43" t="n">
        <f>IF(CM$16=0,0,-CM43/CM$16)</f>
        <v>0</v>
      </c>
      <c s="325" r="CO43"/>
      <c s="339" r="CP43" t="n">
        <f>IF(CP$6=0,0,(D43*D$6+V43*V$6+AN43*AN$6+BF43*BF$6+BX43*BX$6)/CP$6)</f>
        <v>0</v>
      </c>
      <c s="342" r="CQ43" t="n">
        <f>IF(CP$16=0,0,-CP43/CP$16)</f>
        <v>0</v>
      </c>
      <c s="339" r="CR43"/>
      <c s="339" r="CS43" t="n">
        <f>IF(CS$6=0,0,(G43*G$6+Y43*Y$6+AQ43*AQ$6+BI43*BI$6+CA43*CA$6)/CS$6)</f>
        <v>0</v>
      </c>
      <c s="342" r="CT43" t="n">
        <f>IF(CS$16=0,0,-CS43/CS$16)</f>
        <v>0</v>
      </c>
      <c s="339" r="CU43"/>
      <c s="339" r="CV43" t="n">
        <f>IF(CV$6=0,0,(J43*J$6+AB43*AB$6+AT43*AT$6+BL43*BL$6+CD43*CD$6)/CV$6)</f>
        <v>0</v>
      </c>
      <c s="342" r="CW43" t="n">
        <f>IF(CV$16=0,0,-CV43/CV$16)</f>
        <v>0</v>
      </c>
      <c s="339" r="CX43"/>
      <c s="339" r="CY43" t="n">
        <f>IF(CY$6=0,0,(M43*M$6+AE43*AE$6+AW43*AW$6+BO43*BO$6+CG43*CG$6)/CY$6)</f>
        <v>0</v>
      </c>
      <c s="342" r="CZ43" t="n">
        <f>IF(CY$16=0,0,-CY43/CY$16)</f>
        <v>0</v>
      </c>
      <c s="339" r="DA43"/>
      <c s="339" r="DB43" t="n">
        <f>IF(DB$6=0,0,(P43*P$6+AH43*AH$6+AZ43*AZ$6+BR43*BR$6+CJ43*CJ$6)/DB$6)</f>
        <v>0</v>
      </c>
      <c s="342" r="DC43" t="n">
        <f>IF(DB$16=0,0,-DB43/DB$16)</f>
        <v>0</v>
      </c>
      <c s="339" r="DD43"/>
      <c s="339" r="DE43" t="n">
        <f>IF(DE$6=0,0,(S43*S$6+AK43*AK$6+BC43*BC$6+BU43*BU$6+CM43*CM$6)/DE$6)</f>
        <v>0</v>
      </c>
      <c s="342" r="DF43" t="n">
        <f>IF(DE$16=0,0,-DE43/DE$16)</f>
        <v>0</v>
      </c>
      <c s="380" r="DG43"/>
    </row>
    <row r="44" spans="1:111" collapsed="1">
      <c s="314" r="A44"/>
      <c s="410" r="B44" t="str">
        <v>      其他成本（智驾、流量）</v>
      </c>
      <c s="344" r="C44"/>
      <c s="338" r="D44" t="n">
        <f>SUM(D45:D48)</f>
        <v>0</v>
      </c>
      <c s="361" r="E44" t="n">
        <f>IF(D$16=0,0,-D44/D$16)</f>
        <v>0</v>
      </c>
      <c s="339" r="F44"/>
      <c s="338" r="G44" t="n">
        <f>SUM(G45:G48)</f>
        <v>0</v>
      </c>
      <c s="361" r="H44" t="n">
        <f>IF(G$16=0,0,-G44/G$16)</f>
        <v>0</v>
      </c>
      <c s="339" r="I44"/>
      <c s="338" r="J44" t="n">
        <f>SUM(J45:J48)</f>
        <v>0</v>
      </c>
      <c s="361" r="K44" t="n">
        <f>IF(J$16=0,0,-J44/J$16)</f>
        <v>0</v>
      </c>
      <c s="339" r="L44"/>
      <c s="338" r="M44" t="n">
        <f>SUM(M45:M48)</f>
        <v>0</v>
      </c>
      <c s="361" r="N44" t="n">
        <f>IF(M$16=0,0,-M44/M$16)</f>
        <v>0</v>
      </c>
      <c s="326" r="O44"/>
      <c s="338" r="P44" t="n">
        <f>SUM(P45:P48)</f>
        <v>0</v>
      </c>
      <c s="361" r="Q44" t="n">
        <f>IF(P$16=0,0,-P44/P$16)</f>
        <v>0</v>
      </c>
      <c s="346" r="R44"/>
      <c s="339" r="S44" t="n">
        <f>IF(S$6=0,0,(D44*D$6+G44*G$6+J44*J$6+M44*M$6+P44*P$6)/S$6)</f>
        <v>0</v>
      </c>
      <c s="361" r="T44" t="n">
        <f>IF(S$16=0,0,-S44/S$16)</f>
        <v>0</v>
      </c>
      <c s="324" r="U44"/>
      <c s="338" r="V44" t="n">
        <f>SUM(V45:V48)</f>
        <v>0</v>
      </c>
      <c s="361" r="W44" t="n">
        <f>IF(V$16=0,0,-V44/V$16)</f>
        <v>0</v>
      </c>
      <c s="339" r="X44"/>
      <c s="338" r="Y44" t="n">
        <f>SUM(Y45:Y48)</f>
        <v>0</v>
      </c>
      <c s="361" r="Z44" t="n">
        <f>IF(Y$16=0,0,-Y44/Y$16)</f>
        <v>0</v>
      </c>
      <c s="339" r="AA44"/>
      <c s="338" r="AB44" t="n">
        <f>SUM(AB45:AB48)</f>
        <v>0</v>
      </c>
      <c s="361" r="AC44" t="n">
        <f>IF(AB$16=0,0,-AB44/AB$16)</f>
        <v>0</v>
      </c>
      <c s="339" r="AD44"/>
      <c s="338" r="AE44" t="n">
        <f>SUM(AE45:AE48)</f>
        <v>0</v>
      </c>
      <c s="361" r="AF44" t="n">
        <f>IF(AE$16=0,0,-AE44/AE$16)</f>
        <v>0</v>
      </c>
      <c s="326" r="AG44"/>
      <c s="338" r="AH44" t="n">
        <f>SUM(AH45:AH48)</f>
        <v>0</v>
      </c>
      <c s="361" r="AI44" t="n">
        <f>IF(AH$16=0,0,-AH44/AH$16)</f>
        <v>0</v>
      </c>
      <c s="346" r="AJ44"/>
      <c s="339" r="AK44" t="n">
        <f>IF(AK$6=0,0,(V44*V$6+Y44*Y$6+AB44*AB$6+AE44*AE$6+AH44*AH$6)/AK$6)</f>
        <v>0</v>
      </c>
      <c s="361" r="AL44" t="n">
        <f>IF(AK$16=0,0,-AK44/AK$16)</f>
        <v>0</v>
      </c>
      <c s="324" r="AM44"/>
      <c s="338" r="AN44" t="n">
        <f>SUM(AN45:AN48)</f>
        <v>0</v>
      </c>
      <c s="361" r="AO44" t="n">
        <f>IF(AN$16=0,0,-AN44/AN$16)</f>
        <v>0</v>
      </c>
      <c s="339" r="AP44"/>
      <c s="338" r="AQ44" t="n">
        <f>SUM(AQ45:AQ48)</f>
        <v>0</v>
      </c>
      <c s="361" r="AR44" t="n">
        <f>IF(AQ$16=0,0,-AQ44/AQ$16)</f>
        <v>0</v>
      </c>
      <c s="339" r="AS44"/>
      <c s="338" r="AT44" t="n">
        <f>SUM(AT45:AT48)</f>
        <v>0</v>
      </c>
      <c s="361" r="AU44" t="n">
        <f>IF(AT$16=0,0,-AT44/AT$16)</f>
        <v>0</v>
      </c>
      <c s="339" r="AV44"/>
      <c s="338" r="AW44" t="n">
        <f>SUM(AW45:AW48)</f>
        <v>0</v>
      </c>
      <c s="361" r="AX44" t="n">
        <f>IF(AW$16=0,0,-AW44/AW$16)</f>
        <v>0</v>
      </c>
      <c s="326" r="AY44"/>
      <c s="338" r="AZ44" t="n">
        <f>SUM(AZ45:AZ48)</f>
        <v>0</v>
      </c>
      <c s="361" r="BA44" t="n">
        <f>IF(AZ$16=0,0,-AZ44/AZ$16)</f>
        <v>0</v>
      </c>
      <c s="346" r="BB44"/>
      <c s="339" r="BC44" t="n">
        <f>IF(BC$6=0,0,(AN44*AN$6+AQ44*AQ$6+AT44*AT$6+AW44*AW$6+AZ44*AZ$6)/BC$6)</f>
        <v>0</v>
      </c>
      <c s="361" r="BD44" t="n">
        <f>IF(BC$16=0,0,-BC44/BC$16)</f>
        <v>0</v>
      </c>
      <c s="324" r="BE44"/>
      <c s="338" r="BF44" t="n">
        <f>SUM(BF45:BF48)</f>
        <v>0</v>
      </c>
      <c s="361" r="BG44" t="n">
        <f>IF(BF$16=0,0,-BF44/BF$16)</f>
        <v>0</v>
      </c>
      <c s="339" r="BH44"/>
      <c s="338" r="BI44" t="n">
        <f>SUM(BI45:BI48)</f>
        <v>0</v>
      </c>
      <c s="361" r="BJ44" t="n">
        <f>IF(BI$16=0,0,-BI44/BI$16)</f>
        <v>0</v>
      </c>
      <c s="339" r="BK44"/>
      <c s="338" r="BL44" t="n">
        <f>SUM(BL45:BL48)</f>
        <v>0</v>
      </c>
      <c s="361" r="BM44" t="n">
        <f>IF(BL$16=0,0,-BL44/BL$16)</f>
        <v>0</v>
      </c>
      <c s="339" r="BN44"/>
      <c s="338" r="BO44" t="n">
        <f>SUM(BO45:BO48)</f>
        <v>0</v>
      </c>
      <c s="361" r="BP44" t="n">
        <f>IF(BO$16=0,0,-BO44/BO$16)</f>
        <v>0</v>
      </c>
      <c s="326" r="BQ44"/>
      <c s="338" r="BR44" t="n">
        <f>SUM(BR45:BR48)</f>
        <v>0</v>
      </c>
      <c s="361" r="BS44" t="n">
        <f>IF(BR$16=0,0,-BR44/BR$16)</f>
        <v>0</v>
      </c>
      <c s="346" r="BT44"/>
      <c s="339" r="BU44" t="n">
        <f>IF(BU$6=0,0,(BF44*BF$6+BI44*BI$6+BL44*BL$6+BO44*BO$6+BR44*BR$6)/BU$6)</f>
        <v>0</v>
      </c>
      <c s="342" r="BV44" t="n">
        <f>IF(BU$16=0,0,-BU44/BU$16)</f>
        <v>0</v>
      </c>
      <c s="324" r="BW44"/>
      <c s="338" r="BX44" t="n">
        <f>SUM(BX45:BX48)</f>
        <v>0</v>
      </c>
      <c s="361" r="BY44" t="n">
        <f>IF(BX$16=0,0,-BX44/BX$16)</f>
        <v>0</v>
      </c>
      <c s="339" r="BZ44"/>
      <c s="338" r="CA44" t="n">
        <f>SUM(CA45:CA48)</f>
        <v>0</v>
      </c>
      <c s="361" r="CB44" t="n">
        <f>IF(CA$16=0,0,-CA44/CA$16)</f>
        <v>0</v>
      </c>
      <c s="339" r="CC44"/>
      <c s="338" r="CD44" t="n">
        <f>SUM(CD45:CD48)</f>
        <v>0</v>
      </c>
      <c s="361" r="CE44" t="n">
        <f>IF(CD$16=0,0,-CD44/CD$16)</f>
        <v>0</v>
      </c>
      <c s="339" r="CF44"/>
      <c s="338" r="CG44" t="n">
        <f>SUM(CG45:CG48)</f>
        <v>0</v>
      </c>
      <c s="361" r="CH44" t="n">
        <f>IF(CG$16=0,0,-CG44/CG$16)</f>
        <v>0</v>
      </c>
      <c s="326" r="CI44"/>
      <c s="338" r="CJ44" t="n">
        <f>SUM(CJ45:CJ48)</f>
        <v>0</v>
      </c>
      <c s="361" r="CK44" t="n">
        <f>IF(CJ$16=0,0,-CJ44/CJ$16)</f>
        <v>0</v>
      </c>
      <c s="346" r="CL44"/>
      <c s="339" r="CM44" t="n">
        <f>IF(CM$6=0,0,(BX44*BX$6+CA44*CA$6+CD44*CD$6+CG44*CG$6+CJ44*CJ$6)/CM$6)</f>
        <v>0</v>
      </c>
      <c s="342" r="CN44" t="n">
        <f>IF(CM$16=0,0,-CM44/CM$16)</f>
        <v>0</v>
      </c>
      <c s="325" r="CO44"/>
      <c s="368" r="CP44" t="n">
        <f>IF(CP$6=0,0,(D44*D$6+V44*V$6+AN44*AN$6+BF44*BF$6+BX44*BX$6)/CP$6)</f>
        <v>0</v>
      </c>
      <c s="372" r="CQ44" t="n">
        <f>IF(CP$16=0,0,-CP44/CP$16)</f>
        <v>0</v>
      </c>
      <c s="379" r="CR44"/>
      <c s="368" r="CS44" t="n">
        <f>IF(CS$6=0,0,(G44*G$6+Y44*Y$6+AQ44*AQ$6+BI44*BI$6+CA44*CA$6)/CS$6)</f>
        <v>0</v>
      </c>
      <c s="372" r="CT44" t="n">
        <f>IF(CS$16=0,0,-CS44/CS$16)</f>
        <v>0</v>
      </c>
      <c s="368" r="CU44"/>
      <c s="368" r="CV44" t="n">
        <f>IF(CV$6=0,0,(J44*J$6+AB44*AB$6+AT44*AT$6+BL44*BL$6+CD44*CD$6)/CV$6)</f>
        <v>0</v>
      </c>
      <c s="372" r="CW44" t="n">
        <f>IF(CV$16=0,0,-CV44/CV$16)</f>
        <v>0</v>
      </c>
      <c s="368" r="CX44"/>
      <c s="368" r="CY44" t="n">
        <f>IF(CY$6=0,0,(M44*M$6+AE44*AE$6+AW44*AW$6+BO44*BO$6+CG44*CG$6)/CY$6)</f>
        <v>0</v>
      </c>
      <c s="372" r="CZ44" t="n">
        <f>IF(CY$16=0,0,-CY44/CY$16)</f>
        <v>0</v>
      </c>
      <c s="368" r="DA44"/>
      <c s="368" r="DB44" t="n">
        <f>IF(DB$6=0,0,(P44*P$6+AH44*AH$6+AZ44*AZ$6+BR44*BR$6+CJ44*CJ$6)/DB$6)</f>
        <v>0</v>
      </c>
      <c s="372" r="DC44" t="n">
        <f>IF(DB$16=0,0,-DB44/DB$16)</f>
        <v>0</v>
      </c>
      <c s="339" r="DD44"/>
      <c s="339" r="DE44" t="n">
        <f>IF(DE$6=0,0,(S44*S$6+AK44*AK$6+BC44*BC$6+BU44*BU$6+CM44*CM$6)/DE$6)</f>
        <v>0</v>
      </c>
      <c s="342" r="DF44" t="n">
        <f>IF(DE$16=0,0,-DE44/DE$16)</f>
        <v>0</v>
      </c>
      <c s="380" r="DG44"/>
    </row>
    <row r="45" spans="1:111" ht="16.05" hidden="1" customHeight="1" outlineLevel="1">
      <c s="314" r="A45"/>
      <c s="391" r="B45" t="str">
        <v>            -地图服务</v>
      </c>
      <c s="344" r="C45"/>
      <c s="404" r="D45"/>
      <c s="394" r="E45" t="n">
        <f>IF(D$16=0,0,-D45/D$16)</f>
        <v>0</v>
      </c>
      <c s="339" r="F45"/>
      <c s="404" r="G45"/>
      <c s="394" r="H45" t="n">
        <f>IF(G$16=0,0,-G45/G$16)</f>
        <v>0</v>
      </c>
      <c s="339" r="I45"/>
      <c s="404" r="J45"/>
      <c s="394" r="K45" t="n">
        <f>IF(J$16=0,0,-J45/J$16)</f>
        <v>0</v>
      </c>
      <c s="339" r="L45"/>
      <c s="404" r="M45"/>
      <c s="394" r="N45" t="n">
        <f>IF(M$16=0,0,-M45/M$16)</f>
        <v>0</v>
      </c>
      <c s="326" r="O45"/>
      <c s="404" r="P45"/>
      <c s="394" r="Q45" t="n">
        <f>IF(P$16=0,0,-P45/P$16)</f>
        <v>0</v>
      </c>
      <c s="346" r="R45"/>
      <c s="393" r="S45" t="n">
        <f>IF(S$6=0,0,(D45*D$6+G45*G$6+J45*J$6+M45*M$6+P45*P$6)/S$6)</f>
        <v>0</v>
      </c>
      <c s="394" r="T45" t="n">
        <f>IF(S$16=0,0,-S45/S$16)</f>
        <v>0</v>
      </c>
      <c s="324" r="U45"/>
      <c s="404" r="V45"/>
      <c s="394" r="W45" t="n">
        <f>IF(V$16=0,0,-V45/V$16)</f>
        <v>0</v>
      </c>
      <c s="339" r="X45"/>
      <c s="404" r="Y45"/>
      <c s="394" r="Z45" t="n">
        <f>IF(Y$16=0,0,-Y45/Y$16)</f>
        <v>0</v>
      </c>
      <c s="339" r="AA45"/>
      <c s="404" r="AB45"/>
      <c s="394" r="AC45" t="n">
        <f>IF(AB$16=0,0,-AB45/AB$16)</f>
        <v>0</v>
      </c>
      <c s="339" r="AD45"/>
      <c s="404" r="AE45"/>
      <c s="394" r="AF45" t="n">
        <f>IF(AE$16=0,0,-AE45/AE$16)</f>
        <v>0</v>
      </c>
      <c s="326" r="AG45"/>
      <c s="404" r="AH45"/>
      <c s="394" r="AI45" t="n">
        <f>IF(AH$16=0,0,-AH45/AH$16)</f>
        <v>0</v>
      </c>
      <c s="346" r="AJ45"/>
      <c s="393" r="AK45" t="n">
        <f>IF(AK$6=0,0,(V45*V$6+Y45*Y$6+AB45*AB$6+AE45*AE$6+AH45*AH$6)/AK$6)</f>
        <v>0</v>
      </c>
      <c s="394" r="AL45" t="n">
        <f>IF(AK$16=0,0,-AK45/AK$16)</f>
        <v>0</v>
      </c>
      <c s="324" r="AM45"/>
      <c s="404" r="AN45"/>
      <c s="394" r="AO45" t="n">
        <f>IF(AN$16=0,0,-AN45/AN$16)</f>
        <v>0</v>
      </c>
      <c s="339" r="AP45"/>
      <c s="404" r="AQ45"/>
      <c s="394" r="AR45" t="n">
        <f>IF(AQ$16=0,0,-AQ45/AQ$16)</f>
        <v>0</v>
      </c>
      <c s="339" r="AS45"/>
      <c s="404" r="AT45"/>
      <c s="394" r="AU45" t="n">
        <f>IF(AT$16=0,0,-AT45/AT$16)</f>
        <v>0</v>
      </c>
      <c s="339" r="AV45"/>
      <c s="404" r="AW45"/>
      <c s="394" r="AX45" t="n">
        <f>IF(AW$16=0,0,-AW45/AW$16)</f>
        <v>0</v>
      </c>
      <c s="326" r="AY45"/>
      <c s="404" r="AZ45"/>
      <c s="394" r="BA45" t="n">
        <f>IF(AZ$16=0,0,-AZ45/AZ$16)</f>
        <v>0</v>
      </c>
      <c s="346" r="BB45"/>
      <c s="393" r="BC45" t="n">
        <f>IF(BC$6=0,0,(AN45*AN$6+AQ45*AQ$6+AT45*AT$6+AW45*AW$6+AZ45*AZ$6)/BC$6)</f>
        <v>0</v>
      </c>
      <c s="394" r="BD45" t="n">
        <f>IF(BC$16=0,0,-BC45/BC$16)</f>
        <v>0</v>
      </c>
      <c s="324" r="BE45"/>
      <c s="404" r="BF45"/>
      <c s="394" r="BG45" t="n">
        <f>IF(BF$16=0,0,-BF45/BF$16)</f>
        <v>0</v>
      </c>
      <c s="339" r="BH45"/>
      <c s="404" r="BI45"/>
      <c s="394" r="BJ45" t="n">
        <f>IF(BI$16=0,0,-BI45/BI$16)</f>
        <v>0</v>
      </c>
      <c s="339" r="BK45"/>
      <c s="404" r="BL45"/>
      <c s="394" r="BM45" t="n">
        <f>IF(BL$16=0,0,-BL45/BL$16)</f>
        <v>0</v>
      </c>
      <c s="339" r="BN45"/>
      <c s="404" r="BO45"/>
      <c s="394" r="BP45" t="n">
        <f>IF(BO$16=0,0,-BO45/BO$16)</f>
        <v>0</v>
      </c>
      <c s="326" r="BQ45"/>
      <c s="404" r="BR45"/>
      <c s="394" r="BS45" t="n">
        <f>IF(BR$16=0,0,-BR45/BR$16)</f>
        <v>0</v>
      </c>
      <c s="346" r="BT45"/>
      <c s="393" r="BU45" t="n">
        <f>IF(BU$6=0,0,(BF45*BF$6+BI45*BI$6+BL45*BL$6+BO45*BO$6+BR45*BR$6)/BU$6)</f>
        <v>0</v>
      </c>
      <c s="398" r="BV45" t="n">
        <f>IF(BU$16=0,0,-BU45/BU$16)</f>
        <v>0</v>
      </c>
      <c s="324" r="BW45"/>
      <c s="404" r="BX45"/>
      <c s="394" r="BY45" t="n">
        <f>IF(BX$16=0,0,-BX45/BX$16)</f>
        <v>0</v>
      </c>
      <c s="339" r="BZ45"/>
      <c s="404" r="CA45"/>
      <c s="394" r="CB45" t="n">
        <f>IF(CA$16=0,0,-CA45/CA$16)</f>
        <v>0</v>
      </c>
      <c s="339" r="CC45"/>
      <c s="404" r="CD45"/>
      <c s="394" r="CE45" t="n">
        <f>IF(CD$16=0,0,-CD45/CD$16)</f>
        <v>0</v>
      </c>
      <c s="339" r="CF45"/>
      <c s="404" r="CG45"/>
      <c s="394" r="CH45" t="n">
        <f>IF(CG$16=0,0,-CG45/CG$16)</f>
        <v>0</v>
      </c>
      <c s="326" r="CI45"/>
      <c s="404" r="CJ45"/>
      <c s="394" r="CK45" t="n">
        <f>IF(CJ$16=0,0,-CJ45/CJ$16)</f>
        <v>0</v>
      </c>
      <c s="346" r="CL45"/>
      <c s="393" r="CM45" t="n">
        <f>IF(CM$6=0,0,(BX45*BX$6+CA45*CA$6+CD45*CD$6+CG45*CG$6+CJ45*CJ$6)/CM$6)</f>
        <v>0</v>
      </c>
      <c s="398" r="CN45" t="n">
        <f>IF(CM$16=0,0,-CM45/CM$16)</f>
        <v>0</v>
      </c>
      <c s="325" r="CO45"/>
      <c s="379" r="CP45" t="n">
        <f>IF(CP$6=0,0,(D45*D$6+V45*V$6+AN45*AN$6+BF45*BF$6+BX45*BX$6)/CP$6)</f>
        <v>0</v>
      </c>
      <c s="378" r="CQ45" t="n">
        <f>IF(CP$16=0,0,-CP45/CP$16)</f>
        <v>0</v>
      </c>
      <c s="379" r="CR45"/>
      <c s="379" r="CS45" t="n">
        <f>IF(CS$6=0,0,(G45*G$6+Y45*Y$6+AQ45*AQ$6+BI45*BI$6+CA45*CA$6)/CS$6)</f>
        <v>0</v>
      </c>
      <c s="378" r="CT45" t="n">
        <f>IF(CS$16=0,0,-CS45/CS$16)</f>
        <v>0</v>
      </c>
      <c s="379" r="CU45"/>
      <c s="379" r="CV45" t="n">
        <f>IF(CV$6=0,0,(J45*J$6+AB45*AB$6+AT45*AT$6+BL45*BL$6+CD45*CD$6)/CV$6)</f>
        <v>0</v>
      </c>
      <c s="378" r="CW45" t="n">
        <f>IF(CV$16=0,0,-CV45/CV$16)</f>
        <v>0</v>
      </c>
      <c s="379" r="CX45"/>
      <c s="379" r="CY45" t="n">
        <f>IF(CY$6=0,0,(M45*M$6+AE45*AE$6+AW45*AW$6+BO45*BO$6+CG45*CG$6)/CY$6)</f>
        <v>0</v>
      </c>
      <c s="378" r="CZ45" t="n">
        <f>IF(CY$16=0,0,-CY45/CY$16)</f>
        <v>0</v>
      </c>
      <c s="379" r="DA45"/>
      <c s="379" r="DB45" t="n">
        <f>IF(DB$6=0,0,(P45*P$6+AH45*AH$6+AZ45*AZ$6+BR45*BR$6+CJ45*CJ$6)/DB$6)</f>
        <v>0</v>
      </c>
      <c s="378" r="DC45" t="n">
        <f>IF(DB$16=0,0,-DB45/DB$16)</f>
        <v>0</v>
      </c>
      <c s="339" r="DD45"/>
      <c s="379" r="DE45" t="n">
        <f>IF(DE$6=0,0,(S45*S$6+AK45*AK$6+BC45*BC$6+BU45*BU$6+CM45*CM$6)/DE$6)</f>
        <v>0</v>
      </c>
      <c s="378" r="DF45" t="n">
        <f>IF(DE$16=0,0,-DE45/DE$16)</f>
        <v>0</v>
      </c>
      <c s="380" r="DG45"/>
    </row>
    <row r="46" spans="1:111" ht="16.05" hidden="1" customHeight="1" outlineLevel="1">
      <c s="314" r="A46"/>
      <c s="391" r="B46" t="str">
        <v>            -定位服务软件</v>
      </c>
      <c s="344" r="C46"/>
      <c s="404" r="D46"/>
      <c s="394" r="E46" t="n">
        <f>IF(D$16=0,0,-D46/D$16)</f>
        <v>0</v>
      </c>
      <c s="339" r="F46"/>
      <c s="404" r="G46"/>
      <c s="394" r="H46" t="n">
        <f>IF(G$16=0,0,-G46/G$16)</f>
        <v>0</v>
      </c>
      <c s="339" r="I46"/>
      <c s="404" r="J46"/>
      <c s="394" r="K46" t="n">
        <f>IF(J$16=0,0,-J46/J$16)</f>
        <v>0</v>
      </c>
      <c s="339" r="L46"/>
      <c s="404" r="M46"/>
      <c s="394" r="N46" t="n">
        <f>IF(M$16=0,0,-M46/M$16)</f>
        <v>0</v>
      </c>
      <c s="326" r="O46"/>
      <c s="404" r="P46"/>
      <c s="394" r="Q46" t="n">
        <f>IF(P$16=0,0,-P46/P$16)</f>
        <v>0</v>
      </c>
      <c s="346" r="R46"/>
      <c s="393" r="S46" t="n">
        <f>IF(S$6=0,0,(D46*D$6+G46*G$6+J46*J$6+M46*M$6+P46*P$6)/S$6)</f>
        <v>0</v>
      </c>
      <c s="394" r="T46" t="n">
        <f>IF(S$16=0,0,-S46/S$16)</f>
        <v>0</v>
      </c>
      <c s="324" r="U46"/>
      <c s="404" r="V46"/>
      <c s="394" r="W46" t="n">
        <f>IF(V$16=0,0,-V46/V$16)</f>
        <v>0</v>
      </c>
      <c s="339" r="X46"/>
      <c s="404" r="Y46"/>
      <c s="394" r="Z46" t="n">
        <f>IF(Y$16=0,0,-Y46/Y$16)</f>
        <v>0</v>
      </c>
      <c s="339" r="AA46"/>
      <c s="404" r="AB46"/>
      <c s="394" r="AC46" t="n">
        <f>IF(AB$16=0,0,-AB46/AB$16)</f>
        <v>0</v>
      </c>
      <c s="339" r="AD46"/>
      <c s="404" r="AE46"/>
      <c s="394" r="AF46" t="n">
        <f>IF(AE$16=0,0,-AE46/AE$16)</f>
        <v>0</v>
      </c>
      <c s="326" r="AG46"/>
      <c s="404" r="AH46"/>
      <c s="394" r="AI46" t="n">
        <f>IF(AH$16=0,0,-AH46/AH$16)</f>
        <v>0</v>
      </c>
      <c s="346" r="AJ46"/>
      <c s="393" r="AK46" t="n">
        <f>IF(AK$6=0,0,(V46*V$6+Y46*Y$6+AB46*AB$6+AE46*AE$6+AH46*AH$6)/AK$6)</f>
        <v>0</v>
      </c>
      <c s="394" r="AL46" t="n">
        <f>IF(AK$16=0,0,-AK46/AK$16)</f>
        <v>0</v>
      </c>
      <c s="324" r="AM46"/>
      <c s="404" r="AN46"/>
      <c s="394" r="AO46" t="n">
        <f>IF(AN$16=0,0,-AN46/AN$16)</f>
        <v>0</v>
      </c>
      <c s="339" r="AP46"/>
      <c s="404" r="AQ46"/>
      <c s="394" r="AR46" t="n">
        <f>IF(AQ$16=0,0,-AQ46/AQ$16)</f>
        <v>0</v>
      </c>
      <c s="339" r="AS46"/>
      <c s="404" r="AT46"/>
      <c s="394" r="AU46" t="n">
        <f>IF(AT$16=0,0,-AT46/AT$16)</f>
        <v>0</v>
      </c>
      <c s="339" r="AV46"/>
      <c s="404" r="AW46"/>
      <c s="394" r="AX46" t="n">
        <f>IF(AW$16=0,0,-AW46/AW$16)</f>
        <v>0</v>
      </c>
      <c s="326" r="AY46"/>
      <c s="404" r="AZ46"/>
      <c s="394" r="BA46" t="n">
        <f>IF(AZ$16=0,0,-AZ46/AZ$16)</f>
        <v>0</v>
      </c>
      <c s="346" r="BB46"/>
      <c s="393" r="BC46" t="n">
        <f>IF(BC$6=0,0,(AN46*AN$6+AQ46*AQ$6+AT46*AT$6+AW46*AW$6+AZ46*AZ$6)/BC$6)</f>
        <v>0</v>
      </c>
      <c s="394" r="BD46" t="n">
        <f>IF(BC$16=0,0,-BC46/BC$16)</f>
        <v>0</v>
      </c>
      <c s="324" r="BE46"/>
      <c s="404" r="BF46"/>
      <c s="394" r="BG46" t="n">
        <f>IF(BF$16=0,0,-BF46/BF$16)</f>
        <v>0</v>
      </c>
      <c s="339" r="BH46"/>
      <c s="404" r="BI46"/>
      <c s="394" r="BJ46" t="n">
        <f>IF(BI$16=0,0,-BI46/BI$16)</f>
        <v>0</v>
      </c>
      <c s="339" r="BK46"/>
      <c s="404" r="BL46"/>
      <c s="394" r="BM46" t="n">
        <f>IF(BL$16=0,0,-BL46/BL$16)</f>
        <v>0</v>
      </c>
      <c s="339" r="BN46"/>
      <c s="404" r="BO46"/>
      <c s="394" r="BP46" t="n">
        <f>IF(BO$16=0,0,-BO46/BO$16)</f>
        <v>0</v>
      </c>
      <c s="326" r="BQ46"/>
      <c s="404" r="BR46"/>
      <c s="394" r="BS46" t="n">
        <f>IF(BR$16=0,0,-BR46/BR$16)</f>
        <v>0</v>
      </c>
      <c s="346" r="BT46"/>
      <c s="393" r="BU46" t="n">
        <f>IF(BU$6=0,0,(BF46*BF$6+BI46*BI$6+BL46*BL$6+BO46*BO$6+BR46*BR$6)/BU$6)</f>
        <v>0</v>
      </c>
      <c s="398" r="BV46" t="n">
        <f>IF(BU$16=0,0,-BU46/BU$16)</f>
        <v>0</v>
      </c>
      <c s="324" r="BW46"/>
      <c s="404" r="BX46"/>
      <c s="394" r="BY46" t="n">
        <f>IF(BX$16=0,0,-BX46/BX$16)</f>
        <v>0</v>
      </c>
      <c s="339" r="BZ46"/>
      <c s="404" r="CA46"/>
      <c s="394" r="CB46" t="n">
        <f>IF(CA$16=0,0,-CA46/CA$16)</f>
        <v>0</v>
      </c>
      <c s="339" r="CC46"/>
      <c s="404" r="CD46"/>
      <c s="394" r="CE46" t="n">
        <f>IF(CD$16=0,0,-CD46/CD$16)</f>
        <v>0</v>
      </c>
      <c s="339" r="CF46"/>
      <c s="404" r="CG46"/>
      <c s="394" r="CH46" t="n">
        <f>IF(CG$16=0,0,-CG46/CG$16)</f>
        <v>0</v>
      </c>
      <c s="326" r="CI46"/>
      <c s="404" r="CJ46"/>
      <c s="394" r="CK46" t="n">
        <f>IF(CJ$16=0,0,-CJ46/CJ$16)</f>
        <v>0</v>
      </c>
      <c s="346" r="CL46"/>
      <c s="393" r="CM46" t="n">
        <f>IF(CM$6=0,0,(BX46*BX$6+CA46*CA$6+CD46*CD$6+CG46*CG$6+CJ46*CJ$6)/CM$6)</f>
        <v>0</v>
      </c>
      <c s="398" r="CN46" t="n">
        <f>IF(CM$16=0,0,-CM46/CM$16)</f>
        <v>0</v>
      </c>
      <c s="325" r="CO46"/>
      <c s="379" r="CP46" t="n">
        <f>IF(CP$6=0,0,(D46*D$6+V46*V$6+AN46*AN$6+BF46*BF$6+BX46*BX$6)/CP$6)</f>
        <v>0</v>
      </c>
      <c s="378" r="CQ46" t="n">
        <f>IF(CP$16=0,0,-CP46/CP$16)</f>
        <v>0</v>
      </c>
      <c s="379" r="CR46"/>
      <c s="379" r="CS46" t="n">
        <f>IF(CS$6=0,0,(G46*G$6+Y46*Y$6+AQ46*AQ$6+BI46*BI$6+CA46*CA$6)/CS$6)</f>
        <v>0</v>
      </c>
      <c s="378" r="CT46" t="n">
        <f>IF(CS$16=0,0,-CS46/CS$16)</f>
        <v>0</v>
      </c>
      <c s="379" r="CU46"/>
      <c s="379" r="CV46" t="n">
        <f>IF(CV$6=0,0,(J46*J$6+AB46*AB$6+AT46*AT$6+BL46*BL$6+CD46*CD$6)/CV$6)</f>
        <v>0</v>
      </c>
      <c s="378" r="CW46" t="n">
        <f>IF(CV$16=0,0,-CV46/CV$16)</f>
        <v>0</v>
      </c>
      <c s="379" r="CX46"/>
      <c s="379" r="CY46" t="n">
        <f>IF(CY$6=0,0,(M46*M$6+AE46*AE$6+AW46*AW$6+BO46*BO$6+CG46*CG$6)/CY$6)</f>
        <v>0</v>
      </c>
      <c s="378" r="CZ46" t="n">
        <f>IF(CY$16=0,0,-CY46/CY$16)</f>
        <v>0</v>
      </c>
      <c s="379" r="DA46"/>
      <c s="379" r="DB46" t="n">
        <f>IF(DB$6=0,0,(P46*P$6+AH46*AH$6+AZ46*AZ$6+BR46*BR$6+CJ46*CJ$6)/DB$6)</f>
        <v>0</v>
      </c>
      <c s="378" r="DC46" t="n">
        <f>IF(DB$16=0,0,-DB46/DB$16)</f>
        <v>0</v>
      </c>
      <c s="339" r="DD46"/>
      <c s="379" r="DE46" t="n">
        <f>IF(DE$6=0,0,(S46*S$6+AK46*AK$6+BC46*BC$6+BU46*BU$6+CM46*CM$6)/DE$6)</f>
        <v>0</v>
      </c>
      <c s="378" r="DF46" t="n">
        <f>IF(DE$16=0,0,-DE46/DE$16)</f>
        <v>0</v>
      </c>
      <c s="380" r="DG46"/>
    </row>
    <row r="47" spans="1:111" ht="16.05" hidden="1" customHeight="1" outlineLevel="1">
      <c s="314" r="A47"/>
      <c s="391" r="B47" t="str">
        <v>            -E-call</v>
      </c>
      <c s="344" r="C47"/>
      <c s="404" r="D47"/>
      <c s="394" r="E47" t="n">
        <f>IF(D$16=0,0,-D47/D$16)</f>
        <v>0</v>
      </c>
      <c s="339" r="F47"/>
      <c s="404" r="G47"/>
      <c s="394" r="H47" t="n">
        <f>IF(G$16=0,0,-G47/G$16)</f>
        <v>0</v>
      </c>
      <c s="339" r="I47"/>
      <c s="404" r="J47"/>
      <c s="394" r="K47" t="n">
        <f>IF(J$16=0,0,-J47/J$16)</f>
        <v>0</v>
      </c>
      <c s="339" r="L47"/>
      <c s="404" r="M47"/>
      <c s="394" r="N47" t="n">
        <f>IF(M$16=0,0,-M47/M$16)</f>
        <v>0</v>
      </c>
      <c s="326" r="O47"/>
      <c s="404" r="P47"/>
      <c s="394" r="Q47" t="n">
        <f>IF(P$16=0,0,-P47/P$16)</f>
        <v>0</v>
      </c>
      <c s="346" r="R47"/>
      <c s="393" r="S47" t="n">
        <f>IF(S$6=0,0,(D47*D$6+G47*G$6+J47*J$6+M47*M$6+P47*P$6)/S$6)</f>
        <v>0</v>
      </c>
      <c s="394" r="T47" t="n">
        <f>IF(S$16=0,0,-S47/S$16)</f>
        <v>0</v>
      </c>
      <c s="324" r="U47"/>
      <c s="404" r="V47"/>
      <c s="394" r="W47" t="n">
        <f>IF(V$16=0,0,-V47/V$16)</f>
        <v>0</v>
      </c>
      <c s="339" r="X47"/>
      <c s="404" r="Y47"/>
      <c s="394" r="Z47" t="n">
        <f>IF(Y$16=0,0,-Y47/Y$16)</f>
        <v>0</v>
      </c>
      <c s="339" r="AA47"/>
      <c s="404" r="AB47"/>
      <c s="394" r="AC47" t="n">
        <f>IF(AB$16=0,0,-AB47/AB$16)</f>
        <v>0</v>
      </c>
      <c s="339" r="AD47"/>
      <c s="404" r="AE47"/>
      <c s="394" r="AF47" t="n">
        <f>IF(AE$16=0,0,-AE47/AE$16)</f>
        <v>0</v>
      </c>
      <c s="326" r="AG47"/>
      <c s="404" r="AH47"/>
      <c s="394" r="AI47" t="n">
        <f>IF(AH$16=0,0,-AH47/AH$16)</f>
        <v>0</v>
      </c>
      <c s="346" r="AJ47"/>
      <c s="393" r="AK47" t="n">
        <f>IF(AK$6=0,0,(V47*V$6+Y47*Y$6+AB47*AB$6+AE47*AE$6+AH47*AH$6)/AK$6)</f>
        <v>0</v>
      </c>
      <c s="394" r="AL47" t="n">
        <f>IF(AK$16=0,0,-AK47/AK$16)</f>
        <v>0</v>
      </c>
      <c s="324" r="AM47"/>
      <c s="404" r="AN47"/>
      <c s="394" r="AO47" t="n">
        <f>IF(AN$16=0,0,-AN47/AN$16)</f>
        <v>0</v>
      </c>
      <c s="339" r="AP47"/>
      <c s="404" r="AQ47"/>
      <c s="394" r="AR47" t="n">
        <f>IF(AQ$16=0,0,-AQ47/AQ$16)</f>
        <v>0</v>
      </c>
      <c s="339" r="AS47"/>
      <c s="404" r="AT47"/>
      <c s="394" r="AU47" t="n">
        <f>IF(AT$16=0,0,-AT47/AT$16)</f>
        <v>0</v>
      </c>
      <c s="339" r="AV47"/>
      <c s="404" r="AW47"/>
      <c s="394" r="AX47" t="n">
        <f>IF(AW$16=0,0,-AW47/AW$16)</f>
        <v>0</v>
      </c>
      <c s="326" r="AY47"/>
      <c s="404" r="AZ47"/>
      <c s="394" r="BA47" t="n">
        <f>IF(AZ$16=0,0,-AZ47/AZ$16)</f>
        <v>0</v>
      </c>
      <c s="346" r="BB47"/>
      <c s="393" r="BC47" t="n">
        <f>IF(BC$6=0,0,(AN47*AN$6+AQ47*AQ$6+AT47*AT$6+AW47*AW$6+AZ47*AZ$6)/BC$6)</f>
        <v>0</v>
      </c>
      <c s="394" r="BD47" t="n">
        <f>IF(BC$16=0,0,-BC47/BC$16)</f>
        <v>0</v>
      </c>
      <c s="324" r="BE47"/>
      <c s="404" r="BF47"/>
      <c s="394" r="BG47" t="n">
        <f>IF(BF$16=0,0,-BF47/BF$16)</f>
        <v>0</v>
      </c>
      <c s="339" r="BH47"/>
      <c s="404" r="BI47"/>
      <c s="394" r="BJ47" t="n">
        <f>IF(BI$16=0,0,-BI47/BI$16)</f>
        <v>0</v>
      </c>
      <c s="339" r="BK47"/>
      <c s="404" r="BL47"/>
      <c s="394" r="BM47" t="n">
        <f>IF(BL$16=0,0,-BL47/BL$16)</f>
        <v>0</v>
      </c>
      <c s="339" r="BN47"/>
      <c s="404" r="BO47"/>
      <c s="394" r="BP47" t="n">
        <f>IF(BO$16=0,0,-BO47/BO$16)</f>
        <v>0</v>
      </c>
      <c s="326" r="BQ47"/>
      <c s="404" r="BR47"/>
      <c s="394" r="BS47" t="n">
        <f>IF(BR$16=0,0,-BR47/BR$16)</f>
        <v>0</v>
      </c>
      <c s="346" r="BT47"/>
      <c s="393" r="BU47" t="n">
        <f>IF(BU$6=0,0,(BF47*BF$6+BI47*BI$6+BL47*BL$6+BO47*BO$6+BR47*BR$6)/BU$6)</f>
        <v>0</v>
      </c>
      <c s="398" r="BV47" t="n">
        <f>IF(BU$16=0,0,-BU47/BU$16)</f>
        <v>0</v>
      </c>
      <c s="324" r="BW47"/>
      <c s="404" r="BX47"/>
      <c s="394" r="BY47" t="n">
        <f>IF(BX$16=0,0,-BX47/BX$16)</f>
        <v>0</v>
      </c>
      <c s="339" r="BZ47"/>
      <c s="404" r="CA47"/>
      <c s="394" r="CB47" t="n">
        <f>IF(CA$16=0,0,-CA47/CA$16)</f>
        <v>0</v>
      </c>
      <c s="339" r="CC47"/>
      <c s="404" r="CD47"/>
      <c s="394" r="CE47" t="n">
        <f>IF(CD$16=0,0,-CD47/CD$16)</f>
        <v>0</v>
      </c>
      <c s="339" r="CF47"/>
      <c s="404" r="CG47"/>
      <c s="394" r="CH47" t="n">
        <f>IF(CG$16=0,0,-CG47/CG$16)</f>
        <v>0</v>
      </c>
      <c s="326" r="CI47"/>
      <c s="404" r="CJ47"/>
      <c s="394" r="CK47" t="n">
        <f>IF(CJ$16=0,0,-CJ47/CJ$16)</f>
        <v>0</v>
      </c>
      <c s="346" r="CL47"/>
      <c s="393" r="CM47" t="n">
        <f>IF(CM$6=0,0,(BX47*BX$6+CA47*CA$6+CD47*CD$6+CG47*CG$6+CJ47*CJ$6)/CM$6)</f>
        <v>0</v>
      </c>
      <c s="398" r="CN47" t="n">
        <f>IF(CM$16=0,0,-CM47/CM$16)</f>
        <v>0</v>
      </c>
      <c s="325" r="CO47"/>
      <c s="379" r="CP47" t="n">
        <f>IF(CP$6=0,0,(D47*D$6+V47*V$6+AN47*AN$6+BF47*BF$6+BX47*BX$6)/CP$6)</f>
        <v>0</v>
      </c>
      <c s="378" r="CQ47" t="n">
        <f>IF(CP$16=0,0,-CP47/CP$16)</f>
        <v>0</v>
      </c>
      <c s="379" r="CR47"/>
      <c s="379" r="CS47" t="n">
        <f>IF(CS$6=0,0,(G47*G$6+Y47*Y$6+AQ47*AQ$6+BI47*BI$6+CA47*CA$6)/CS$6)</f>
        <v>0</v>
      </c>
      <c s="378" r="CT47" t="n">
        <f>IF(CS$16=0,0,-CS47/CS$16)</f>
        <v>0</v>
      </c>
      <c s="379" r="CU47"/>
      <c s="379" r="CV47" t="n">
        <f>IF(CV$6=0,0,(J47*J$6+AB47*AB$6+AT47*AT$6+BL47*BL$6+CD47*CD$6)/CV$6)</f>
        <v>0</v>
      </c>
      <c s="378" r="CW47" t="n">
        <f>IF(CV$16=0,0,-CV47/CV$16)</f>
        <v>0</v>
      </c>
      <c s="379" r="CX47"/>
      <c s="379" r="CY47" t="n">
        <f>IF(CY$6=0,0,(M47*M$6+AE47*AE$6+AW47*AW$6+BO47*BO$6+CG47*CG$6)/CY$6)</f>
        <v>0</v>
      </c>
      <c s="378" r="CZ47" t="n">
        <f>IF(CY$16=0,0,-CY47/CY$16)</f>
        <v>0</v>
      </c>
      <c s="379" r="DA47"/>
      <c s="379" r="DB47" t="n">
        <f>IF(DB$6=0,0,(P47*P$6+AH47*AH$6+AZ47*AZ$6+BR47*BR$6+CJ47*CJ$6)/DB$6)</f>
        <v>0</v>
      </c>
      <c s="378" r="DC47" t="n">
        <f>IF(DB$16=0,0,-DB47/DB$16)</f>
        <v>0</v>
      </c>
      <c s="339" r="DD47"/>
      <c s="379" r="DE47" t="n">
        <f>IF(DE$6=0,0,(S47*S$6+AK47*AK$6+BC47*BC$6+BU47*BU$6+CM47*CM$6)/DE$6)</f>
        <v>0</v>
      </c>
      <c s="378" r="DF47" t="n">
        <f>IF(DE$16=0,0,-DE47/DE$16)</f>
        <v>0</v>
      </c>
      <c s="380" r="DG47"/>
    </row>
    <row r="48" spans="1:111" ht="16.05" hidden="1" customHeight="1" outlineLevel="1">
      <c s="314" r="A48"/>
      <c s="391" r="B48" t="str">
        <v>            -车流量</v>
      </c>
      <c s="344" r="C48"/>
      <c s="404" r="D48"/>
      <c s="394" r="E48" t="n">
        <f>IF(D$16=0,0,-D48/D$16)</f>
        <v>0</v>
      </c>
      <c s="339" r="F48"/>
      <c s="404" r="G48"/>
      <c s="394" r="H48" t="n">
        <f>IF(G$16=0,0,-G48/G$16)</f>
        <v>0</v>
      </c>
      <c s="339" r="I48"/>
      <c s="404" r="J48"/>
      <c s="394" r="K48" t="n">
        <f>IF(J$16=0,0,-J48/J$16)</f>
        <v>0</v>
      </c>
      <c s="339" r="L48"/>
      <c s="404" r="M48"/>
      <c s="394" r="N48" t="n">
        <f>IF(M$16=0,0,-M48/M$16)</f>
        <v>0</v>
      </c>
      <c s="326" r="O48"/>
      <c s="404" r="P48"/>
      <c s="394" r="Q48" t="n">
        <f>IF(P$16=0,0,-P48/P$16)</f>
        <v>0</v>
      </c>
      <c s="346" r="R48"/>
      <c s="393" r="S48" t="n">
        <f>IF(S$6=0,0,(D48*D$6+G48*G$6+J48*J$6+M48*M$6+P48*P$6)/S$6)</f>
        <v>0</v>
      </c>
      <c s="394" r="T48" t="n">
        <f>IF(S$16=0,0,-S48/S$16)</f>
        <v>0</v>
      </c>
      <c s="324" r="U48"/>
      <c s="404" r="V48"/>
      <c s="394" r="W48" t="n">
        <f>IF(V$16=0,0,-V48/V$16)</f>
        <v>0</v>
      </c>
      <c s="339" r="X48"/>
      <c s="404" r="Y48"/>
      <c s="394" r="Z48" t="n">
        <f>IF(Y$16=0,0,-Y48/Y$16)</f>
        <v>0</v>
      </c>
      <c s="339" r="AA48"/>
      <c s="404" r="AB48"/>
      <c s="394" r="AC48" t="n">
        <f>IF(AB$16=0,0,-AB48/AB$16)</f>
        <v>0</v>
      </c>
      <c s="339" r="AD48"/>
      <c s="404" r="AE48"/>
      <c s="394" r="AF48" t="n">
        <f>IF(AE$16=0,0,-AE48/AE$16)</f>
        <v>0</v>
      </c>
      <c s="326" r="AG48"/>
      <c s="404" r="AH48"/>
      <c s="394" r="AI48" t="n">
        <f>IF(AH$16=0,0,-AH48/AH$16)</f>
        <v>0</v>
      </c>
      <c s="346" r="AJ48"/>
      <c s="393" r="AK48" t="n">
        <f>IF(AK$6=0,0,(V48*V$6+Y48*Y$6+AB48*AB$6+AE48*AE$6+AH48*AH$6)/AK$6)</f>
        <v>0</v>
      </c>
      <c s="394" r="AL48" t="n">
        <f>IF(AK$16=0,0,-AK48/AK$16)</f>
        <v>0</v>
      </c>
      <c s="324" r="AM48"/>
      <c s="404" r="AN48"/>
      <c s="394" r="AO48" t="n">
        <f>IF(AN$16=0,0,-AN48/AN$16)</f>
        <v>0</v>
      </c>
      <c s="339" r="AP48"/>
      <c s="404" r="AQ48"/>
      <c s="394" r="AR48" t="n">
        <f>IF(AQ$16=0,0,-AQ48/AQ$16)</f>
        <v>0</v>
      </c>
      <c s="339" r="AS48"/>
      <c s="404" r="AT48"/>
      <c s="394" r="AU48" t="n">
        <f>IF(AT$16=0,0,-AT48/AT$16)</f>
        <v>0</v>
      </c>
      <c s="339" r="AV48"/>
      <c s="404" r="AW48"/>
      <c s="394" r="AX48" t="n">
        <f>IF(AW$16=0,0,-AW48/AW$16)</f>
        <v>0</v>
      </c>
      <c s="326" r="AY48"/>
      <c s="404" r="AZ48"/>
      <c s="394" r="BA48" t="n">
        <f>IF(AZ$16=0,0,-AZ48/AZ$16)</f>
        <v>0</v>
      </c>
      <c s="346" r="BB48"/>
      <c s="393" r="BC48" t="n">
        <f>IF(BC$6=0,0,(AN48*AN$6+AQ48*AQ$6+AT48*AT$6+AW48*AW$6+AZ48*AZ$6)/BC$6)</f>
        <v>0</v>
      </c>
      <c s="394" r="BD48" t="n">
        <f>IF(BC$16=0,0,-BC48/BC$16)</f>
        <v>0</v>
      </c>
      <c s="324" r="BE48"/>
      <c s="404" r="BF48"/>
      <c s="394" r="BG48" t="n">
        <f>IF(BF$16=0,0,-BF48/BF$16)</f>
        <v>0</v>
      </c>
      <c s="339" r="BH48"/>
      <c s="404" r="BI48"/>
      <c s="394" r="BJ48" t="n">
        <f>IF(BI$16=0,0,-BI48/BI$16)</f>
        <v>0</v>
      </c>
      <c s="339" r="BK48"/>
      <c s="404" r="BL48"/>
      <c s="394" r="BM48" t="n">
        <f>IF(BL$16=0,0,-BL48/BL$16)</f>
        <v>0</v>
      </c>
      <c s="339" r="BN48"/>
      <c s="404" r="BO48"/>
      <c s="394" r="BP48" t="n">
        <f>IF(BO$16=0,0,-BO48/BO$16)</f>
        <v>0</v>
      </c>
      <c s="326" r="BQ48"/>
      <c s="404" r="BR48"/>
      <c s="394" r="BS48" t="n">
        <f>IF(BR$16=0,0,-BR48/BR$16)</f>
        <v>0</v>
      </c>
      <c s="346" r="BT48"/>
      <c s="393" r="BU48" t="n">
        <f>IF(BU$6=0,0,(BF48*BF$6+BI48*BI$6+BL48*BL$6+BO48*BO$6+BR48*BR$6)/BU$6)</f>
        <v>0</v>
      </c>
      <c s="398" r="BV48" t="n">
        <f>IF(BU$16=0,0,-BU48/BU$16)</f>
        <v>0</v>
      </c>
      <c s="324" r="BW48"/>
      <c s="404" r="BX48"/>
      <c s="394" r="BY48" t="n">
        <f>IF(BX$16=0,0,-BX48/BX$16)</f>
        <v>0</v>
      </c>
      <c s="339" r="BZ48"/>
      <c s="404" r="CA48"/>
      <c s="394" r="CB48" t="n">
        <f>IF(CA$16=0,0,-CA48/CA$16)</f>
        <v>0</v>
      </c>
      <c s="339" r="CC48"/>
      <c s="404" r="CD48"/>
      <c s="394" r="CE48" t="n">
        <f>IF(CD$16=0,0,-CD48/CD$16)</f>
        <v>0</v>
      </c>
      <c s="339" r="CF48"/>
      <c s="404" r="CG48"/>
      <c s="394" r="CH48" t="n">
        <f>IF(CG$16=0,0,-CG48/CG$16)</f>
        <v>0</v>
      </c>
      <c s="326" r="CI48"/>
      <c s="404" r="CJ48"/>
      <c s="394" r="CK48" t="n">
        <f>IF(CJ$16=0,0,-CJ48/CJ$16)</f>
        <v>0</v>
      </c>
      <c s="346" r="CL48"/>
      <c s="393" r="CM48" t="n">
        <f>IF(CM$6=0,0,(BX48*BX$6+CA48*CA$6+CD48*CD$6+CG48*CG$6+CJ48*CJ$6)/CM$6)</f>
        <v>0</v>
      </c>
      <c s="398" r="CN48" t="n">
        <f>IF(CM$16=0,0,-CM48/CM$16)</f>
        <v>0</v>
      </c>
      <c s="325" r="CO48"/>
      <c s="379" r="CP48" t="n">
        <f>IF(CP$6=0,0,(D48*D$6+V48*V$6+AN48*AN$6+BF48*BF$6+BX48*BX$6)/CP$6)</f>
        <v>0</v>
      </c>
      <c s="378" r="CQ48" t="n">
        <f>IF(CP$16=0,0,-CP48/CP$16)</f>
        <v>0</v>
      </c>
      <c s="379" r="CR48"/>
      <c s="379" r="CS48" t="n">
        <f>IF(CS$6=0,0,(G48*G$6+Y48*Y$6+AQ48*AQ$6+BI48*BI$6+CA48*CA$6)/CS$6)</f>
        <v>0</v>
      </c>
      <c s="378" r="CT48" t="n">
        <f>IF(CS$16=0,0,-CS48/CS$16)</f>
        <v>0</v>
      </c>
      <c s="379" r="CU48"/>
      <c s="379" r="CV48" t="n">
        <f>IF(CV$6=0,0,(J48*J$6+AB48*AB$6+AT48*AT$6+BL48*BL$6+CD48*CD$6)/CV$6)</f>
        <v>0</v>
      </c>
      <c s="378" r="CW48" t="n">
        <f>IF(CV$16=0,0,-CV48/CV$16)</f>
        <v>0</v>
      </c>
      <c s="379" r="CX48"/>
      <c s="379" r="CY48" t="n">
        <f>IF(CY$6=0,0,(M48*M$6+AE48*AE$6+AW48*AW$6+BO48*BO$6+CG48*CG$6)/CY$6)</f>
        <v>0</v>
      </c>
      <c s="378" r="CZ48" t="n">
        <f>IF(CY$16=0,0,-CY48/CY$16)</f>
        <v>0</v>
      </c>
      <c s="379" r="DA48"/>
      <c s="379" r="DB48" t="n">
        <f>IF(DB$6=0,0,(P48*P$6+AH48*AH$6+AZ48*AZ$6+BR48*BR$6+CJ48*CJ$6)/DB$6)</f>
        <v>0</v>
      </c>
      <c s="378" r="DC48" t="n">
        <f>IF(DB$16=0,0,-DB48/DB$16)</f>
        <v>0</v>
      </c>
      <c s="339" r="DD48"/>
      <c s="379" r="DE48" t="n">
        <f>IF(DE$6=0,0,(S48*S$6+AK48*AK$6+BC48*BC$6+BU48*BU$6+CM48*CM$6)/DE$6)</f>
        <v>0</v>
      </c>
      <c s="378" r="DF48" t="n">
        <f>IF(DE$16=0,0,-DE48/DE$16)</f>
        <v>0</v>
      </c>
      <c s="380" r="DG48"/>
    </row>
    <row r="49" spans="1:111" ht="2" customHeight="1">
      <c s="411" r="A49"/>
      <c s="366" r="B49" t="str">
        <v>其他成本调整（原表预留）</v>
      </c>
      <c s="412" r="C49"/>
      <c s="413" r="D49"/>
      <c s="369" r="E49"/>
      <c s="414" r="F49"/>
      <c s="413" r="G49"/>
      <c s="369" r="H49"/>
      <c s="414" r="I49"/>
      <c s="413" r="J49"/>
      <c s="369" r="K49"/>
      <c s="414" r="L49"/>
      <c s="413" r="M49"/>
      <c s="369" r="N49"/>
      <c s="414" r="O49"/>
      <c s="413" r="P49"/>
      <c s="369" r="Q49"/>
      <c s="411" r="R49"/>
      <c s="368" r="S49" t="n">
        <f>IF(S$6=0,0,(D49*D$6+G49*G$6+J49*J$6+M49*M$6+P49*P$6)/S$6)</f>
        <v>0</v>
      </c>
      <c s="369" r="T49"/>
      <c s="371" r="U49"/>
      <c s="413" r="V49"/>
      <c s="369" r="W49"/>
      <c s="414" r="X49"/>
      <c s="413" r="Y49"/>
      <c s="369" r="Z49"/>
      <c s="414" r="AA49"/>
      <c s="413" r="AB49"/>
      <c s="369" r="AC49"/>
      <c s="414" r="AD49"/>
      <c s="413" r="AE49"/>
      <c s="369" r="AF49"/>
      <c s="414" r="AG49"/>
      <c s="413" r="AH49"/>
      <c s="369" r="AI49"/>
      <c s="411" r="AJ49"/>
      <c s="368" r="AK49" t="n">
        <f>IF(AK$6=0,0,(V49*V$6+Y49*Y$6+AB49*AB$6+AE49*AE$6+AH49*AH$6)/AK$6)</f>
        <v>0</v>
      </c>
      <c s="369" r="AL49"/>
      <c s="371" r="AM49"/>
      <c s="413" r="AN49"/>
      <c s="369" r="AO49"/>
      <c s="414" r="AP49"/>
      <c s="413" r="AQ49"/>
      <c s="369" r="AR49"/>
      <c s="414" r="AS49"/>
      <c s="413" r="AT49"/>
      <c s="369" r="AU49"/>
      <c s="414" r="AV49"/>
      <c s="413" r="AW49"/>
      <c s="369" r="AX49"/>
      <c s="414" r="AY49"/>
      <c s="413" r="AZ49"/>
      <c s="369" r="BA49"/>
      <c s="411" r="BB49"/>
      <c s="368" r="BC49" t="n">
        <f>IF(BC$6=0,0,(AN49*AN$6+AQ49*AQ$6+AT49*AT$6+AW49*AW$6+AZ49*AZ$6)/BC$6)</f>
        <v>0</v>
      </c>
      <c s="369" r="BD49"/>
      <c s="371" r="BE49"/>
      <c s="413" r="BF49"/>
      <c s="369" r="BG49"/>
      <c s="414" r="BH49"/>
      <c s="413" r="BI49"/>
      <c s="369" r="BJ49"/>
      <c s="414" r="BK49"/>
      <c s="413" r="BL49"/>
      <c s="369" r="BM49"/>
      <c s="414" r="BN49"/>
      <c s="413" r="BO49"/>
      <c s="369" r="BP49"/>
      <c s="414" r="BQ49"/>
      <c s="413" r="BR49"/>
      <c s="369" r="BS49"/>
      <c s="411" r="BT49"/>
      <c s="368" r="BU49" t="n">
        <f>IF(BU$6=0,0,(BF49*BF$6+BI49*BI$6+BL49*BL$6+BO49*BO$6+BR49*BR$6)/BU$6)</f>
        <v>0</v>
      </c>
      <c s="372" r="BV49"/>
      <c s="371" r="BW49"/>
      <c s="413" r="BX49"/>
      <c s="369" r="BY49"/>
      <c s="414" r="BZ49"/>
      <c s="413" r="CA49"/>
      <c s="369" r="CB49"/>
      <c s="414" r="CC49"/>
      <c s="413" r="CD49"/>
      <c s="369" r="CE49"/>
      <c s="414" r="CF49"/>
      <c s="413" r="CG49"/>
      <c s="369" r="CH49"/>
      <c s="414" r="CI49"/>
      <c s="413" r="CJ49"/>
      <c s="369" r="CK49"/>
      <c s="411" r="CL49"/>
      <c s="368" r="CM49" t="n">
        <f>IF(CM$6=0,0,(BX49*BX$6+CA49*CA$6+CD49*CD$6+CG49*CG$6+CJ49*CJ$6)/CM$6)</f>
        <v>0</v>
      </c>
      <c s="372" r="CN49"/>
      <c s="415" r="CO49"/>
      <c s="368" r="CP49" t="n">
        <f>IF(CP$6=0,0,(D49*D$6+V49*V$6+AN49*AN$6+BF49*BF$6+BX49*BX$6)/CP$6)</f>
        <v>0</v>
      </c>
      <c s="372" r="CQ49"/>
      <c s="368" r="CR49"/>
      <c s="368" r="CS49" t="n">
        <f>IF(CS$6=0,0,(G49*G$6+Y49*Y$6+AQ49*AQ$6+BI49*BI$6+CA49*CA$6)/CS$6)</f>
        <v>0</v>
      </c>
      <c s="372" r="CT49"/>
      <c s="368" r="CU49"/>
      <c s="368" r="CV49" t="n">
        <f>IF(CV$6=0,0,(J49*J$6+AB49*AB$6+AT49*AT$6+BL49*BL$6+CD49*CD$6)/CV$6)</f>
        <v>0</v>
      </c>
      <c s="372" r="CW49"/>
      <c s="368" r="CX49"/>
      <c s="368" r="CY49" t="n">
        <f>IF(CY$6=0,0,(M49*M$6+AE49*AE$6+AW49*AW$6+BO49*BO$6+CG49*CG$6)/CY$6)</f>
        <v>0</v>
      </c>
      <c s="372" r="CZ49"/>
      <c s="368" r="DA49"/>
      <c s="368" r="DB49" t="n">
        <f>IF(DB$6=0,0,(P49*P$6+AH49*AH$6+AZ49*AZ$6+BR49*BR$6+CJ49*CJ$6)/DB$6)</f>
        <v>0</v>
      </c>
      <c s="372" r="DC49"/>
      <c s="414" r="DD49"/>
      <c s="368" r="DE49" t="n">
        <f>IF(DE$6=0,0,(S49*S$6+AK49*AK$6+BC49*BC$6+BU49*BU$6+CM49*CM$6)/DE$6)</f>
        <v>0</v>
      </c>
      <c s="372" r="DF49"/>
      <c s="416" r="DG49"/>
    </row>
    <row r="50" spans="1:111">
      <c s="314" r="A50"/>
      <c s="343" r="B50" t="str">
        <v>毛利</v>
      </c>
      <c s="344" r="C50"/>
      <c s="326" r="D50" t="n">
        <f>SUM(D16:D17)</f>
        <v>0</v>
      </c>
      <c s="363" r="E50" t="n">
        <f>IF(D$16=0,0,D50/D$16)</f>
        <v>0</v>
      </c>
      <c s="326" r="F50"/>
      <c s="326" r="G50" t="n">
        <f>SUM(G16:G17)</f>
        <v>0</v>
      </c>
      <c s="363" r="H50" t="n">
        <f>IF(G$16=0,0,G50/G$16)</f>
        <v>0</v>
      </c>
      <c s="326" r="I50"/>
      <c s="326" r="J50" t="n">
        <f>SUM(J16:J17)</f>
        <v>0</v>
      </c>
      <c s="363" r="K50" t="n">
        <f>IF(J$16=0,0,J50/J$16)</f>
        <v>0</v>
      </c>
      <c s="326" r="L50"/>
      <c s="326" r="M50" t="n">
        <f>SUM(M16:M17)</f>
        <v>0</v>
      </c>
      <c s="363" r="N50" t="n">
        <f>IF(M$16=0,0,M50/M$16)</f>
        <v>0</v>
      </c>
      <c s="326" r="O50"/>
      <c s="326" r="P50" t="n">
        <f>SUM(P16:P17)</f>
        <v>0</v>
      </c>
      <c s="363" r="Q50" t="n">
        <f>IF(P$16=0,0,P50/P$16)</f>
        <v>0</v>
      </c>
      <c s="314" r="R50"/>
      <c s="326" r="S50" t="n">
        <f>IF(S$6=0,0,(D50*D$6+G50*G$6+J50*J$6+M50*M$6+P50*P$6)/S$6)</f>
        <v>0</v>
      </c>
      <c s="417" r="T50" t="n">
        <f>IF(S$16=0,0,S50/S$16)</f>
        <v>0</v>
      </c>
      <c s="324" r="U50"/>
      <c s="326" r="V50" t="n">
        <f>SUM(V16:V17)</f>
        <v>0</v>
      </c>
      <c s="363" r="W50" t="n">
        <f>IF(V$16=0,0,V50/V$16)</f>
        <v>0</v>
      </c>
      <c s="326" r="X50"/>
      <c s="326" r="Y50" t="n">
        <f>SUM(Y16:Y17)</f>
        <v>0</v>
      </c>
      <c s="363" r="Z50" t="n">
        <f>IF(Y$16=0,0,Y50/Y$16)</f>
        <v>0</v>
      </c>
      <c s="326" r="AA50"/>
      <c s="326" r="AB50" t="n">
        <f>SUM(AB16:AB17)</f>
        <v>0</v>
      </c>
      <c s="363" r="AC50" t="n">
        <f>IF(AB$16=0,0,AB50/AB$16)</f>
        <v>0</v>
      </c>
      <c s="326" r="AD50"/>
      <c s="326" r="AE50" t="n">
        <f>SUM(AE16:AE17)</f>
        <v>0</v>
      </c>
      <c s="363" r="AF50" t="n">
        <f>IF(AE$16=0,0,AE50/AE$16)</f>
        <v>0</v>
      </c>
      <c s="326" r="AG50"/>
      <c s="326" r="AH50" t="n">
        <f>SUM(AH16:AH17)</f>
        <v>0</v>
      </c>
      <c s="363" r="AI50" t="n">
        <f>IF(AH$16=0,0,AH50/AH$16)</f>
        <v>0</v>
      </c>
      <c s="314" r="AJ50"/>
      <c s="326" r="AK50" t="n">
        <f>IF(AK$6=0,0,(V50*V$6+Y50*Y$6+AB50*AB$6+AE50*AE$6+AH50*AH$6)/AK$6)</f>
        <v>0</v>
      </c>
      <c s="363" r="AL50" t="n">
        <f>IF(AK$16=0,0,AK50/AK$16)</f>
        <v>0</v>
      </c>
      <c s="324" r="AM50"/>
      <c s="326" r="AN50" t="n">
        <f>SUM(AN16:AN17)</f>
        <v>0</v>
      </c>
      <c s="363" r="AO50" t="n">
        <f>IF(AN$16=0,0,AN50/AN$16)</f>
        <v>0</v>
      </c>
      <c s="326" r="AP50"/>
      <c s="326" r="AQ50" t="n">
        <f>SUM(AQ16:AQ17)</f>
        <v>0</v>
      </c>
      <c s="363" r="AR50" t="n">
        <f>IF(AQ$16=0,0,AQ50/AQ$16)</f>
        <v>0</v>
      </c>
      <c s="326" r="AS50"/>
      <c s="326" r="AT50" t="n">
        <f>SUM(AT16:AT17)</f>
        <v>0</v>
      </c>
      <c s="363" r="AU50" t="n">
        <f>IF(AT$16=0,0,AT50/AT$16)</f>
        <v>0</v>
      </c>
      <c s="326" r="AV50"/>
      <c s="326" r="AW50" t="n">
        <f>SUM(AW16:AW17)</f>
        <v>0</v>
      </c>
      <c s="363" r="AX50" t="n">
        <f>IF(AW$16=0,0,AW50/AW$16)</f>
        <v>0</v>
      </c>
      <c s="326" r="AY50"/>
      <c s="326" r="AZ50" t="n">
        <f>SUM(AZ16:AZ17)</f>
        <v>0</v>
      </c>
      <c s="363" r="BA50" t="n">
        <f>IF(AZ$16=0,0,AZ50/AZ$16)</f>
        <v>0</v>
      </c>
      <c s="314" r="BB50"/>
      <c s="326" r="BC50" t="n">
        <f>IF(BC$6=0,0,(AN50*AN$6+AQ50*AQ$6+AT50*AT$6+AW50*AW$6+AZ50*AZ$6)/BC$6)</f>
        <v>0</v>
      </c>
      <c s="363" r="BD50" t="n">
        <f>IF(BC$16=0,0,BC50/BC$16)</f>
        <v>0</v>
      </c>
      <c s="324" r="BE50"/>
      <c s="326" r="BF50" t="n">
        <f>SUM(BF16:BF17)</f>
        <v>0</v>
      </c>
      <c s="363" r="BG50" t="n">
        <f>IF(BF$16=0,0,BF50/BF$16)</f>
        <v>0</v>
      </c>
      <c s="326" r="BH50"/>
      <c s="326" r="BI50" t="n">
        <f>SUM(BI16:BI17)</f>
        <v>0</v>
      </c>
      <c s="363" r="BJ50" t="n">
        <f>IF(BI$16=0,0,BI50/BI$16)</f>
        <v>0</v>
      </c>
      <c s="326" r="BK50"/>
      <c s="326" r="BL50" t="n">
        <f>SUM(BL16:BL17)</f>
        <v>0</v>
      </c>
      <c s="363" r="BM50" t="n">
        <f>IF(BL$16=0,0,BL50/BL$16)</f>
        <v>0</v>
      </c>
      <c s="326" r="BN50"/>
      <c s="326" r="BO50" t="n">
        <f>SUM(BO16:BO17)</f>
        <v>0</v>
      </c>
      <c s="363" r="BP50" t="n">
        <f>IF(BO$16=0,0,BO50/BO$16)</f>
        <v>0</v>
      </c>
      <c s="326" r="BQ50"/>
      <c s="326" r="BR50" t="n">
        <f>SUM(BR16:BR17)</f>
        <v>0</v>
      </c>
      <c s="363" r="BS50" t="n">
        <f>IF(BR$16=0,0,BR50/BR$16)</f>
        <v>0</v>
      </c>
      <c s="314" r="BT50"/>
      <c s="326" r="BU50" t="n">
        <f>IF(BU$6=0,0,(BF50*BF$6+BI50*BI$6+BL50*BL$6+BO50*BO$6+BR50*BR$6)/BU$6)</f>
        <v>0</v>
      </c>
      <c s="363" r="BV50" t="n">
        <f>IF(BU$16=0,0,BU50/BU$16)</f>
        <v>0</v>
      </c>
      <c s="324" r="BW50"/>
      <c s="326" r="BX50" t="n">
        <f>SUM(BX16:BX17)</f>
        <v>0</v>
      </c>
      <c s="363" r="BY50" t="n">
        <f>IF(BX$16=0,0,BX50/BX$16)</f>
        <v>0</v>
      </c>
      <c s="326" r="BZ50"/>
      <c s="326" r="CA50" t="n">
        <f>SUM(CA16:CA17)</f>
        <v>0</v>
      </c>
      <c s="363" r="CB50" t="n">
        <f>IF(CA$16=0,0,CA50/CA$16)</f>
        <v>0</v>
      </c>
      <c s="326" r="CC50"/>
      <c s="326" r="CD50" t="n">
        <f>SUM(CD16:CD17)</f>
        <v>0</v>
      </c>
      <c s="363" r="CE50" t="n">
        <f>IF(CD$16=0,0,CD50/CD$16)</f>
        <v>0</v>
      </c>
      <c s="326" r="CF50"/>
      <c s="326" r="CG50" t="n">
        <f>SUM(CG16:CG17)</f>
        <v>0</v>
      </c>
      <c s="363" r="CH50" t="n">
        <f>IF(CG$16=0,0,CG50/CG$16)</f>
        <v>0</v>
      </c>
      <c s="326" r="CI50"/>
      <c s="326" r="CJ50" t="n">
        <f>SUM(CJ16:CJ17)</f>
        <v>0</v>
      </c>
      <c s="363" r="CK50" t="n">
        <f>IF(CJ$16=0,0,CJ50/CJ$16)</f>
        <v>0</v>
      </c>
      <c s="314" r="CL50"/>
      <c s="326" r="CM50" t="n">
        <f>IF(CM$6=0,0,(BX50*BX$6+CA50*CA$6+CD50*CD$6+CG50*CG$6+CJ50*CJ$6)/CM$6)</f>
        <v>0</v>
      </c>
      <c s="363" r="CN50" t="n">
        <f>IF(CM$16=0,0,CM50/CM$16)</f>
        <v>0</v>
      </c>
      <c s="363" r="CO50"/>
      <c s="326" r="CP50" t="n">
        <f>IF(CP$6=0,0,(D50*D$6+V50*V$6+AN50*AN$6+BF50*BF$6+BX50*BX$6)/CP$6)</f>
        <v>0</v>
      </c>
      <c s="363" r="CQ50" t="n">
        <f>IF(CP$16=0,0,CP50/CP$16)</f>
        <v>0</v>
      </c>
      <c s="326" r="CR50"/>
      <c s="326" r="CS50" t="n">
        <f>IF(CS$6=0,0,(G50*G$6+Y50*Y$6+AQ50*AQ$6+BI50*BI$6+CA50*CA$6)/CS$6)</f>
        <v>0</v>
      </c>
      <c s="363" r="CT50" t="n">
        <f>IF(CS$16=0,0,CS50/CS$16)</f>
        <v>0</v>
      </c>
      <c s="326" r="CU50"/>
      <c s="326" r="CV50" t="n">
        <f>IF(CV$6=0,0,(J50*J$6+AB50*AB$6+AT50*AT$6+BL50*BL$6+CD50*CD$6)/CV$6)</f>
        <v>0</v>
      </c>
      <c s="363" r="CW50" t="n">
        <f>IF(CV$16=0,0,CV50/CV$16)</f>
        <v>0</v>
      </c>
      <c s="326" r="CX50"/>
      <c s="326" r="CY50" t="n">
        <f>IF(CY$6=0,0,(M50*M$6+AE50*AE$6+AW50*AW$6+BO50*BO$6+CG50*CG$6)/CY$6)</f>
        <v>0</v>
      </c>
      <c s="363" r="CZ50" t="n">
        <f>IF(CY$16=0,0,CY50/CY$16)</f>
        <v>0</v>
      </c>
      <c s="326" r="DA50"/>
      <c s="326" r="DB50" t="n">
        <f>IF(DB$6=0,0,(P50*P$6+AH50*AH$6+AZ50*AZ$6+BR50*BR$6+CJ50*CJ$6)/DB$6)</f>
        <v>0</v>
      </c>
      <c s="363" r="DC50" t="n">
        <f>IF(DB$16=0,0,DB50/DB$16)</f>
        <v>0</v>
      </c>
      <c s="326" r="DD50"/>
      <c s="326" r="DE50" t="n">
        <f>IF(DE$6=0,0,(S50*S$6+AK50*AK$6+BC50*BC$6+BU50*BU$6+CM50*CM$6)/DE$6)</f>
        <v>0</v>
      </c>
      <c s="417" r="DF50" t="n">
        <f>IF(DE$16=0,0,DE50/DE$16)</f>
        <v>0</v>
      </c>
      <c s="418" r="DG50"/>
    </row>
    <row r="51" spans="1:111">
      <c s="314" r="A51"/>
      <c s="343" r="B51" t="str">
        <v>费用总额</v>
      </c>
      <c s="344" r="C51"/>
      <c s="326" r="D51" t="n">
        <f>SUM(D52,D56,D67:D68)</f>
        <v>0</v>
      </c>
      <c s="363" r="E51" t="n">
        <f>IF(D$16=0,0,-D51/D$16)</f>
        <v>0</v>
      </c>
      <c s="326" r="F51"/>
      <c s="326" r="G51" t="n">
        <f>SUM(G52,G56,G67:G68)</f>
        <v>0</v>
      </c>
      <c s="363" r="H51" t="n">
        <f>IF(G$16=0,0,-G51/G$16)</f>
        <v>0</v>
      </c>
      <c s="326" r="I51"/>
      <c s="326" r="J51" t="n">
        <f>SUM(J52,J56,J67:J68)</f>
        <v>0</v>
      </c>
      <c s="363" r="K51" t="n">
        <f>IF(J$16=0,0,-J51/J$16)</f>
        <v>0</v>
      </c>
      <c s="326" r="L51"/>
      <c s="326" r="M51" t="n">
        <f>SUM(M52,M56,M67:M68)</f>
        <v>0</v>
      </c>
      <c s="363" r="N51" t="n">
        <f>IF(M$16=0,0,-M51/M$16)</f>
        <v>0</v>
      </c>
      <c s="326" r="O51"/>
      <c s="326" r="P51" t="n">
        <f>SUM(P52,P56,P67:P68)</f>
        <v>0</v>
      </c>
      <c s="363" r="Q51" t="n">
        <f>IF(P$16=0,0,-P51/P$16)</f>
        <v>0</v>
      </c>
      <c s="314" r="R51"/>
      <c s="326" r="S51" t="n">
        <f>IF(S$6=0,0,(D51*D$6+G51*G$6+J51*J$6+M51*M$6+P51*P$6)/S$6)</f>
        <v>0</v>
      </c>
      <c s="363" r="T51" t="n">
        <f>IF(S$16=0,0,-S51/S$16)</f>
        <v>0</v>
      </c>
      <c s="363" r="U51"/>
      <c s="326" r="V51" t="n">
        <f>SUM(V52,V56,V67:V68)</f>
        <v>0</v>
      </c>
      <c s="363" r="W51" t="n">
        <f>IF(V$16=0,0,-V51/V$16)</f>
        <v>0</v>
      </c>
      <c s="326" r="X51"/>
      <c s="326" r="Y51" t="n">
        <f>SUM(Y52,Y56,Y67:Y68)</f>
        <v>0</v>
      </c>
      <c s="363" r="Z51" t="n">
        <f>IF(Y$16=0,0,-Y51/Y$16)</f>
        <v>0</v>
      </c>
      <c s="326" r="AA51"/>
      <c s="326" r="AB51" t="n">
        <f>SUM(AB52,AB56,AB67:AB68)</f>
        <v>0</v>
      </c>
      <c s="363" r="AC51" t="n">
        <f>IF(AB$16=0,0,-AB51/AB$16)</f>
        <v>0</v>
      </c>
      <c s="326" r="AD51"/>
      <c s="326" r="AE51" t="n">
        <f>SUM(AE52,AE56,AE67:AE68)</f>
        <v>0</v>
      </c>
      <c s="363" r="AF51" t="n">
        <f>IF(AE$16=0,0,-AE51/AE$16)</f>
        <v>0</v>
      </c>
      <c s="326" r="AG51"/>
      <c s="326" r="AH51" t="n">
        <f>SUM(AH52,AH56,AH67:AH68)</f>
        <v>0</v>
      </c>
      <c s="363" r="AI51" t="n">
        <f>IF(AH$16=0,0,-AH51/AH$16)</f>
        <v>0</v>
      </c>
      <c s="314" r="AJ51"/>
      <c s="326" r="AK51" t="n">
        <f>IF(AK$6=0,0,(V51*V$6+Y51*Y$6+AB51*AB$6+AE51*AE$6+AH51*AH$6)/AK$6)</f>
        <v>0</v>
      </c>
      <c s="363" r="AL51" t="n">
        <f>IF(AK$16=0,0,-AK51/AK$16)</f>
        <v>0</v>
      </c>
      <c s="363" r="AM51"/>
      <c s="326" r="AN51" t="n">
        <f>SUM(AN52,AN56,AN67:AN68)</f>
        <v>0</v>
      </c>
      <c s="363" r="AO51" t="n">
        <f>IF(AN$16=0,0,-AN51/AN$16)</f>
        <v>0</v>
      </c>
      <c s="326" r="AP51"/>
      <c s="326" r="AQ51" t="n">
        <f>SUM(AQ52,AQ56,AQ67:AQ68)</f>
        <v>0</v>
      </c>
      <c s="363" r="AR51" t="n">
        <f>IF(AQ$16=0,0,-AQ51/AQ$16)</f>
        <v>0</v>
      </c>
      <c s="326" r="AS51"/>
      <c s="326" r="AT51" t="n">
        <f>SUM(AT52,AT56,AT67:AT68)</f>
        <v>0</v>
      </c>
      <c s="363" r="AU51" t="n">
        <f>IF(AT$16=0,0,-AT51/AT$16)</f>
        <v>0</v>
      </c>
      <c s="326" r="AV51"/>
      <c s="326" r="AW51" t="n">
        <f>SUM(AW52,AW56,AW67:AW68)</f>
        <v>0</v>
      </c>
      <c s="363" r="AX51" t="n">
        <f>IF(AW$16=0,0,-AW51/AW$16)</f>
        <v>0</v>
      </c>
      <c s="326" r="AY51"/>
      <c s="326" r="AZ51" t="n">
        <f>SUM(AZ52,AZ56,AZ67:AZ68)</f>
        <v>0</v>
      </c>
      <c s="363" r="BA51" t="n">
        <f>IF(AZ$16=0,0,-AZ51/AZ$16)</f>
        <v>0</v>
      </c>
      <c s="314" r="BB51"/>
      <c s="326" r="BC51" t="n">
        <f>IF(BC$6=0,0,(AN51*AN$6+AQ51*AQ$6+AT51*AT$6+AW51*AW$6+AZ51*AZ$6)/BC$6)</f>
        <v>0</v>
      </c>
      <c s="363" r="BD51" t="n">
        <f>IF(BC$16=0,0,-BC51/BC$16)</f>
        <v>0</v>
      </c>
      <c s="363" r="BE51"/>
      <c s="326" r="BF51" t="n">
        <f>SUM(BF52,BF56,BF67:BF68)</f>
        <v>0</v>
      </c>
      <c s="363" r="BG51" t="n">
        <f>IF(BF$16=0,0,-BF51/BF$16)</f>
        <v>0</v>
      </c>
      <c s="326" r="BH51"/>
      <c s="326" r="BI51" t="n">
        <f>SUM(BI52,BI56,BI67:BI68)</f>
        <v>0</v>
      </c>
      <c s="363" r="BJ51" t="n">
        <f>IF(BI$16=0,0,-BI51/BI$16)</f>
        <v>0</v>
      </c>
      <c s="326" r="BK51"/>
      <c s="326" r="BL51" t="n">
        <f>SUM(BL52,BL56,BL67:BL68)</f>
        <v>0</v>
      </c>
      <c s="363" r="BM51" t="n">
        <f>IF(BL$16=0,0,-BL51/BL$16)</f>
        <v>0</v>
      </c>
      <c s="326" r="BN51"/>
      <c s="326" r="BO51" t="n">
        <f>SUM(BO52,BO56,BO67:BO68)</f>
        <v>0</v>
      </c>
      <c s="363" r="BP51" t="n">
        <f>IF(BO$16=0,0,-BO51/BO$16)</f>
        <v>0</v>
      </c>
      <c s="326" r="BQ51"/>
      <c s="326" r="BR51" t="n">
        <f>SUM(BR52,BR56,BR67:BR68)</f>
        <v>0</v>
      </c>
      <c s="363" r="BS51" t="n">
        <f>IF(BR$16=0,0,-BR51/BR$16)</f>
        <v>0</v>
      </c>
      <c s="314" r="BT51"/>
      <c s="326" r="BU51" t="n">
        <f>IF(BU$6=0,0,(BF51*BF$6+BI51*BI$6+BL51*BL$6+BO51*BO$6+BR51*BR$6)/BU$6)</f>
        <v>0</v>
      </c>
      <c s="363" r="BV51" t="n">
        <f>IF(BU$16=0,0,-BU51/BU$16)</f>
        <v>0</v>
      </c>
      <c s="363" r="BW51"/>
      <c s="326" r="BX51" t="n">
        <f>SUM(BX52,BX56,BX67:BX68)</f>
        <v>0</v>
      </c>
      <c s="363" r="BY51" t="n">
        <f>IF(BX$16=0,0,-BX51/BX$16)</f>
        <v>0</v>
      </c>
      <c s="326" r="BZ51"/>
      <c s="326" r="CA51" t="n">
        <f>SUM(CA52,CA56,CA67:CA68)</f>
        <v>0</v>
      </c>
      <c s="363" r="CB51" t="n">
        <f>IF(CA$16=0,0,-CA51/CA$16)</f>
        <v>0</v>
      </c>
      <c s="326" r="CC51"/>
      <c s="326" r="CD51" t="n">
        <f>SUM(CD52,CD56,CD67:CD68)</f>
        <v>0</v>
      </c>
      <c s="363" r="CE51" t="n">
        <f>IF(CD$16=0,0,-CD51/CD$16)</f>
        <v>0</v>
      </c>
      <c s="326" r="CF51"/>
      <c s="326" r="CG51" t="n">
        <f>SUM(CG52,CG56,CG67:CG68)</f>
        <v>0</v>
      </c>
      <c s="363" r="CH51" t="n">
        <f>IF(CG$16=0,0,-CG51/CG$16)</f>
        <v>0</v>
      </c>
      <c s="326" r="CI51"/>
      <c s="326" r="CJ51" t="n">
        <f>SUM(CJ52,CJ56,CJ67:CJ68)</f>
        <v>0</v>
      </c>
      <c s="363" r="CK51" t="n">
        <f>IF(CJ$16=0,0,-CJ51/CJ$16)</f>
        <v>0</v>
      </c>
      <c s="314" r="CL51"/>
      <c s="326" r="CM51" t="n">
        <f>IF(CM$6=0,0,(BX51*BX$6+CA51*CA$6+CD51*CD$6+CG51*CG$6+CJ51*CJ$6)/CM$6)</f>
        <v>0</v>
      </c>
      <c s="363" r="CN51" t="n">
        <f>IF(CM$16=0,0,-CM51/CM$16)</f>
        <v>0</v>
      </c>
      <c s="363" r="CO51"/>
      <c s="326" r="CP51" t="n">
        <f>IF(CP$6=0,0,(D51*D$6+V51*V$6+AN51*AN$6+BF51*BF$6+BX51*BX$6)/CP$6)</f>
        <v>0</v>
      </c>
      <c s="363" r="CQ51" t="n">
        <f>IF(CP$16=0,0,-CP51/CP$16)</f>
        <v>0</v>
      </c>
      <c s="326" r="CR51"/>
      <c s="326" r="CS51" t="n">
        <f>IF(CS$6=0,0,(G51*G$6+Y51*Y$6+AQ51*AQ$6+BI51*BI$6+CA51*CA$6)/CS$6)</f>
        <v>0</v>
      </c>
      <c s="363" r="CT51" t="n">
        <f>IF(CS$16=0,0,-CS51/CS$16)</f>
        <v>0</v>
      </c>
      <c s="326" r="CU51"/>
      <c s="326" r="CV51" t="n">
        <f>IF(CV$6=0,0,(J51*J$6+AB51*AB$6+AT51*AT$6+BL51*BL$6+CD51*CD$6)/CV$6)</f>
        <v>0</v>
      </c>
      <c s="363" r="CW51" t="n">
        <f>IF(CV$16=0,0,-CV51/CV$16)</f>
        <v>0</v>
      </c>
      <c s="326" r="CX51"/>
      <c s="326" r="CY51" t="n">
        <f>IF(CY$6=0,0,(M51*M$6+AE51*AE$6+AW51*AW$6+BO51*BO$6+CG51*CG$6)/CY$6)</f>
        <v>0</v>
      </c>
      <c s="363" r="CZ51" t="n">
        <f>IF(CY$16=0,0,-CY51/CY$16)</f>
        <v>0</v>
      </c>
      <c s="326" r="DA51"/>
      <c s="326" r="DB51" t="n">
        <f>IF(DB$6=0,0,(P51*P$6+AH51*AH$6+AZ51*AZ$6+BR51*BR$6+CJ51*CJ$6)/DB$6)</f>
        <v>0</v>
      </c>
      <c s="363" r="DC51" t="n">
        <f>IF(DB$16=0,0,-DB51/DB$16)</f>
        <v>0</v>
      </c>
      <c s="326" r="DD51"/>
      <c s="326" r="DE51" t="n">
        <f>IF(DE$6=0,0,(S51*S$6+AK51*AK$6+BC51*BC$6+BU51*BU$6+CM51*CM$6)/DE$6)</f>
        <v>0</v>
      </c>
      <c s="363" r="DF51" t="n">
        <f>IF(DE$16=0,0,-DE51/DE$16)</f>
        <v>0</v>
      </c>
      <c s="418" r="DG51"/>
    </row>
    <row r="52" spans="1:111">
      <c s="314" r="A52"/>
      <c s="322" r="B52" t="str">
        <v>      研发费用分摊</v>
      </c>
      <c s="336" r="C52"/>
      <c s="339" r="D52" t="n">
        <f>SUM(D53:D55)</f>
        <v>0</v>
      </c>
      <c s="342" r="E52" t="n">
        <f>IF(D$16=0,0,-D52/D$16)</f>
        <v>0</v>
      </c>
      <c s="339" r="F52"/>
      <c s="339" r="G52" t="n">
        <f>SUM(G53:G55)</f>
        <v>0</v>
      </c>
      <c s="342" r="H52" t="n">
        <f>IF(G$16=0,0,-G52/G$16)</f>
        <v>0</v>
      </c>
      <c s="339" r="I52"/>
      <c s="339" r="J52" t="n">
        <f>SUM(J53:J55)</f>
        <v>0</v>
      </c>
      <c s="342" r="K52" t="n">
        <f>IF(J$16=0,0,-J52/J$16)</f>
        <v>0</v>
      </c>
      <c s="339" r="L52"/>
      <c s="339" r="M52" t="n">
        <f>SUM(M53:M55)</f>
        <v>0</v>
      </c>
      <c s="342" r="N52" t="n">
        <f>IF(M$16=0,0,-M52/M$16)</f>
        <v>0</v>
      </c>
      <c s="339" r="O52"/>
      <c s="339" r="P52" t="n">
        <f>SUM(P53:P55)</f>
        <v>0</v>
      </c>
      <c s="342" r="Q52" t="n">
        <f>IF(P$16=0,0,-P52/P$16)</f>
        <v>0</v>
      </c>
      <c s="321" r="R52"/>
      <c s="339" r="S52" t="n">
        <f>IF(S$6=0,0,(D52*D$6+G52*G$6+J52*J$6+M52*M$6+P52*P$6)/S$6)</f>
        <v>0</v>
      </c>
      <c s="342" r="T52" t="n">
        <f>IF(S$16=0,0,-S52/S$16)</f>
        <v>0</v>
      </c>
      <c s="342" r="U52"/>
      <c s="339" r="V52" t="n">
        <f>SUM(V53:V55)</f>
        <v>0</v>
      </c>
      <c s="342" r="W52" t="n">
        <f>IF(V$16=0,0,-V52/V$16)</f>
        <v>0</v>
      </c>
      <c s="339" r="X52"/>
      <c s="339" r="Y52" t="n">
        <f>SUM(Y53:Y55)</f>
        <v>0</v>
      </c>
      <c s="342" r="Z52" t="n">
        <f>IF(Y$16=0,0,-Y52/Y$16)</f>
        <v>0</v>
      </c>
      <c s="339" r="AA52"/>
      <c s="339" r="AB52" t="n">
        <f>SUM(AB53:AB55)</f>
        <v>0</v>
      </c>
      <c s="342" r="AC52" t="n">
        <f>IF(AB$16=0,0,-AB52/AB$16)</f>
        <v>0</v>
      </c>
      <c s="339" r="AD52"/>
      <c s="339" r="AE52" t="n">
        <f>SUM(AE53:AE55)</f>
        <v>0</v>
      </c>
      <c s="342" r="AF52" t="n">
        <f>IF(AE$16=0,0,-AE52/AE$16)</f>
        <v>0</v>
      </c>
      <c s="339" r="AG52"/>
      <c s="339" r="AH52" t="n">
        <f>SUM(AH53:AH55)</f>
        <v>0</v>
      </c>
      <c s="342" r="AI52" t="n">
        <f>IF(AH$16=0,0,-AH52/AH$16)</f>
        <v>0</v>
      </c>
      <c s="321" r="AJ52"/>
      <c s="339" r="AK52" t="n">
        <f>IF(AK$6=0,0,(V52*V$6+Y52*Y$6+AB52*AB$6+AE52*AE$6+AH52*AH$6)/AK$6)</f>
        <v>0</v>
      </c>
      <c s="342" r="AL52" t="n">
        <f>IF(AK$16=0,0,-AK52/AK$16)</f>
        <v>0</v>
      </c>
      <c s="342" r="AM52"/>
      <c s="339" r="AN52" t="n">
        <f>SUM(AN53:AN55)</f>
        <v>0</v>
      </c>
      <c s="342" r="AO52" t="n">
        <f>IF(AN$16=0,0,-AN52/AN$16)</f>
        <v>0</v>
      </c>
      <c s="339" r="AP52"/>
      <c s="339" r="AQ52" t="n">
        <f>SUM(AQ53:AQ55)</f>
        <v>0</v>
      </c>
      <c s="342" r="AR52" t="n">
        <f>IF(AQ$16=0,0,-AQ52/AQ$16)</f>
        <v>0</v>
      </c>
      <c s="339" r="AS52"/>
      <c s="339" r="AT52" t="n">
        <f>SUM(AT53:AT55)</f>
        <v>0</v>
      </c>
      <c s="342" r="AU52" t="n">
        <f>IF(AT$16=0,0,-AT52/AT$16)</f>
        <v>0</v>
      </c>
      <c s="339" r="AV52"/>
      <c s="339" r="AW52" t="n">
        <f>SUM(AW53:AW55)</f>
        <v>0</v>
      </c>
      <c s="342" r="AX52" t="n">
        <f>IF(AW$16=0,0,-AW52/AW$16)</f>
        <v>0</v>
      </c>
      <c s="339" r="AY52"/>
      <c s="339" r="AZ52" t="n">
        <f>SUM(AZ53:AZ55)</f>
        <v>0</v>
      </c>
      <c s="342" r="BA52" t="n">
        <f>IF(AZ$16=0,0,-AZ52/AZ$16)</f>
        <v>0</v>
      </c>
      <c s="321" r="BB52"/>
      <c s="339" r="BC52" t="n">
        <f>IF(BC$6=0,0,(AN52*AN$6+AQ52*AQ$6+AT52*AT$6+AW52*AW$6+AZ52*AZ$6)/BC$6)</f>
        <v>0</v>
      </c>
      <c s="342" r="BD52" t="n">
        <f>IF(BC$16=0,0,-BC52/BC$16)</f>
        <v>0</v>
      </c>
      <c s="342" r="BE52"/>
      <c s="339" r="BF52" t="n">
        <f>SUM(BF53:BF55)</f>
        <v>0</v>
      </c>
      <c s="342" r="BG52" t="n">
        <f>IF(BF$16=0,0,-BF52/BF$16)</f>
        <v>0</v>
      </c>
      <c s="339" r="BH52"/>
      <c s="339" r="BI52" t="n">
        <f>SUM(BI53:BI55)</f>
        <v>0</v>
      </c>
      <c s="342" r="BJ52" t="n">
        <f>IF(BI$16=0,0,-BI52/BI$16)</f>
        <v>0</v>
      </c>
      <c s="339" r="BK52"/>
      <c s="339" r="BL52" t="n">
        <f>SUM(BL53:BL55)</f>
        <v>0</v>
      </c>
      <c s="342" r="BM52" t="n">
        <f>IF(BL$16=0,0,-BL52/BL$16)</f>
        <v>0</v>
      </c>
      <c s="339" r="BN52"/>
      <c s="339" r="BO52" t="n">
        <f>SUM(BO53:BO55)</f>
        <v>0</v>
      </c>
      <c s="342" r="BP52" t="n">
        <f>IF(BO$16=0,0,-BO52/BO$16)</f>
        <v>0</v>
      </c>
      <c s="339" r="BQ52"/>
      <c s="339" r="BR52" t="n">
        <f>SUM(BR53:BR55)</f>
        <v>0</v>
      </c>
      <c s="342" r="BS52" t="n">
        <f>IF(BR$16=0,0,-BR52/BR$16)</f>
        <v>0</v>
      </c>
      <c s="321" r="BT52"/>
      <c s="339" r="BU52" t="n">
        <f>IF(BU$6=0,0,(BF52*BF$6+BI52*BI$6+BL52*BL$6+BO52*BO$6+BR52*BR$6)/BU$6)</f>
        <v>0</v>
      </c>
      <c s="342" r="BV52" t="n">
        <f>IF(BU$16=0,0,-BU52/BU$16)</f>
        <v>0</v>
      </c>
      <c s="342" r="BW52"/>
      <c s="339" r="BX52" t="n">
        <f>SUM(BX53:BX55)</f>
        <v>0</v>
      </c>
      <c s="342" r="BY52" t="n">
        <f>IF(BX$16=0,0,-BX52/BX$16)</f>
        <v>0</v>
      </c>
      <c s="339" r="BZ52"/>
      <c s="339" r="CA52" t="n">
        <f>SUM(CA53:CA55)</f>
        <v>0</v>
      </c>
      <c s="342" r="CB52" t="n">
        <f>IF(CA$16=0,0,-CA52/CA$16)</f>
        <v>0</v>
      </c>
      <c s="339" r="CC52"/>
      <c s="339" r="CD52" t="n">
        <f>SUM(CD53:CD55)</f>
        <v>0</v>
      </c>
      <c s="342" r="CE52" t="n">
        <f>IF(CD$16=0,0,-CD52/CD$16)</f>
        <v>0</v>
      </c>
      <c s="339" r="CF52"/>
      <c s="339" r="CG52" t="n">
        <f>SUM(CG53:CG55)</f>
        <v>0</v>
      </c>
      <c s="342" r="CH52" t="n">
        <f>IF(CG$16=0,0,-CG52/CG$16)</f>
        <v>0</v>
      </c>
      <c s="339" r="CI52"/>
      <c s="339" r="CJ52" t="n">
        <f>SUM(CJ53:CJ55)</f>
        <v>0</v>
      </c>
      <c s="342" r="CK52" t="n">
        <f>IF(CJ$16=0,0,-CJ52/CJ$16)</f>
        <v>0</v>
      </c>
      <c s="321" r="CL52"/>
      <c s="339" r="CM52" t="n">
        <f>IF(CM$6=0,0,(BX52*BX$6+CA52*CA$6+CD52*CD$6+CG52*CG$6+CJ52*CJ$6)/CM$6)</f>
        <v>0</v>
      </c>
      <c s="342" r="CN52" t="n">
        <f>IF(CM$16=0,0,-CM52/CM$16)</f>
        <v>0</v>
      </c>
      <c s="342" r="CO52"/>
      <c s="339" r="CP52" t="n">
        <f>IF(CP$6=0,0,(D52*D$6+V52*V$6+AN52*AN$6+BF52*BF$6+BX52*BX$6)/CP$6)</f>
        <v>0</v>
      </c>
      <c s="342" r="CQ52" t="n">
        <f>IF(CP$16=0,0,-CP52/CP$16)</f>
        <v>0</v>
      </c>
      <c s="339" r="CR52"/>
      <c s="339" r="CS52" t="n">
        <f>IF(CS$6=0,0,(G52*G$6+Y52*Y$6+AQ52*AQ$6+BI52*BI$6+CA52*CA$6)/CS$6)</f>
        <v>0</v>
      </c>
      <c s="342" r="CT52" t="n">
        <f>IF(CS$16=0,0,-CS52/CS$16)</f>
        <v>0</v>
      </c>
      <c s="339" r="CU52"/>
      <c s="339" r="CV52" t="n">
        <f>IF(CV$6=0,0,(J52*J$6+AB52*AB$6+AT52*AT$6+BL52*BL$6+CD52*CD$6)/CV$6)</f>
        <v>0</v>
      </c>
      <c s="342" r="CW52" t="n">
        <f>IF(CV$16=0,0,-CV52/CV$16)</f>
        <v>0</v>
      </c>
      <c s="339" r="CX52"/>
      <c s="339" r="CY52" t="n">
        <f>IF(CY$6=0,0,(M52*M$6+AE52*AE$6+AW52*AW$6+BO52*BO$6+CG52*CG$6)/CY$6)</f>
        <v>0</v>
      </c>
      <c s="342" r="CZ52" t="n">
        <f>IF(CY$16=0,0,-CY52/CY$16)</f>
        <v>0</v>
      </c>
      <c s="339" r="DA52"/>
      <c s="339" r="DB52" t="n">
        <f>IF(DB$6=0,0,(P52*P$6+AH52*AH$6+AZ52*AZ$6+BR52*BR$6+CJ52*CJ$6)/DB$6)</f>
        <v>0</v>
      </c>
      <c s="342" r="DC52" t="n">
        <f>IF(DB$16=0,0,-DB52/DB$16)</f>
        <v>0</v>
      </c>
      <c s="339" r="DD52"/>
      <c s="339" r="DE52" t="n">
        <f>IF(DE$6=0,0,(S52*S$6+AK52*AK$6+BC52*BC$6+BU52*BU$6+CM52*CM$6)/DE$6)</f>
        <v>0</v>
      </c>
      <c s="342" r="DF52" t="n">
        <f>IF(DE$16=0,0,-DE52/DE$16)</f>
        <v>0</v>
      </c>
      <c s="380" r="DG52"/>
    </row>
    <row r="53" spans="1:111" ht="16.05" customHeight="1" outlineLevel="1">
      <c s="314" r="A53"/>
      <c s="419" r="B53" t="str">
        <v>         -研发专项投入分摊(R1)</v>
      </c>
      <c s="336" r="C53"/>
      <c s="404" r="D53"/>
      <c s="394" r="E53" t="n">
        <f>IF(D$16=0,0,-D53/D$16)</f>
        <v>0</v>
      </c>
      <c s="339" r="F53"/>
      <c s="404" r="G53"/>
      <c s="394" r="H53" t="n">
        <f>IF(G$16=0,0,-G53/G$16)</f>
        <v>0</v>
      </c>
      <c s="339" r="I53"/>
      <c s="404" r="J53"/>
      <c s="394" r="K53" t="n">
        <f>IF(J$16=0,0,-J53/J$16)</f>
        <v>0</v>
      </c>
      <c s="339" r="L53"/>
      <c s="404" r="M53"/>
      <c s="394" r="N53" t="n">
        <f>IF(M$16=0,0,-M53/M$16)</f>
        <v>0</v>
      </c>
      <c s="326" r="O53"/>
      <c s="404" r="P53"/>
      <c s="394" r="Q53" t="n">
        <f>IF(P$16=0,0,-P53/P$16)</f>
        <v>0</v>
      </c>
      <c s="346" r="R53"/>
      <c s="393" r="S53" t="n">
        <f>IF(S$6=0,0,(D53*D$6+G53*G$6+J53*J$6+M53*M$6+P53*P$6)/S$6)</f>
        <v>0</v>
      </c>
      <c s="394" r="T53" t="n">
        <f>IF(S$16=0,0,-S53/S$16)</f>
        <v>0</v>
      </c>
      <c s="342" r="U53"/>
      <c s="404" r="V53"/>
      <c s="394" r="W53" t="n">
        <f>IF(V$16=0,0,-V53/V$16)</f>
        <v>0</v>
      </c>
      <c s="339" r="X53"/>
      <c s="404" r="Y53"/>
      <c s="394" r="Z53" t="n">
        <f>IF(Y$16=0,0,-Y53/Y$16)</f>
        <v>0</v>
      </c>
      <c s="339" r="AA53"/>
      <c s="404" r="AB53"/>
      <c s="394" r="AC53" t="n">
        <f>IF(AB$16=0,0,-AB53/AB$16)</f>
        <v>0</v>
      </c>
      <c s="339" r="AD53"/>
      <c s="404" r="AE53"/>
      <c s="394" r="AF53" t="n">
        <f>IF(AE$16=0,0,-AE53/AE$16)</f>
        <v>0</v>
      </c>
      <c s="326" r="AG53"/>
      <c s="404" r="AH53"/>
      <c s="394" r="AI53" t="n">
        <f>IF(AH$16=0,0,-AH53/AH$16)</f>
        <v>0</v>
      </c>
      <c s="346" r="AJ53"/>
      <c s="393" r="AK53" t="n">
        <f>IF(AK$6=0,0,(V53*V$6+Y53*Y$6+AB53*AB$6+AE53*AE$6+AH53*AH$6)/AK$6)</f>
        <v>0</v>
      </c>
      <c s="394" r="AL53" t="n">
        <f>IF(AK$16=0,0,-AK53/AK$16)</f>
        <v>0</v>
      </c>
      <c s="342" r="AM53"/>
      <c s="404" r="AN53"/>
      <c s="394" r="AO53" t="n">
        <f>IF(AN$16=0,0,-AN53/AN$16)</f>
        <v>0</v>
      </c>
      <c s="339" r="AP53"/>
      <c s="404" r="AQ53"/>
      <c s="394" r="AR53" t="n">
        <f>IF(AQ$16=0,0,-AQ53/AQ$16)</f>
        <v>0</v>
      </c>
      <c s="339" r="AS53"/>
      <c s="404" r="AT53"/>
      <c s="394" r="AU53" t="n">
        <f>IF(AT$16=0,0,-AT53/AT$16)</f>
        <v>0</v>
      </c>
      <c s="339" r="AV53"/>
      <c s="404" r="AW53"/>
      <c s="394" r="AX53" t="n">
        <f>IF(AW$16=0,0,-AW53/AW$16)</f>
        <v>0</v>
      </c>
      <c s="326" r="AY53"/>
      <c s="404" r="AZ53"/>
      <c s="394" r="BA53" t="n">
        <f>IF(AZ$16=0,0,-AZ53/AZ$16)</f>
        <v>0</v>
      </c>
      <c s="346" r="BB53"/>
      <c s="393" r="BC53" t="n">
        <f>IF(BC$6=0,0,(AN53*AN$6+AQ53*AQ$6+AT53*AT$6+AW53*AW$6+AZ53*AZ$6)/BC$6)</f>
        <v>0</v>
      </c>
      <c s="394" r="BD53" t="n">
        <f>IF(BC$16=0,0,-BC53/BC$16)</f>
        <v>0</v>
      </c>
      <c s="342" r="BE53"/>
      <c s="404" r="BF53"/>
      <c s="394" r="BG53" t="n">
        <f>IF(BF$16=0,0,-BF53/BF$16)</f>
        <v>0</v>
      </c>
      <c s="339" r="BH53"/>
      <c s="404" r="BI53"/>
      <c s="394" r="BJ53" t="n">
        <f>IF(BI$16=0,0,-BI53/BI$16)</f>
        <v>0</v>
      </c>
      <c s="339" r="BK53"/>
      <c s="404" r="BL53"/>
      <c s="394" r="BM53" t="n">
        <f>IF(BL$16=0,0,-BL53/BL$16)</f>
        <v>0</v>
      </c>
      <c s="339" r="BN53"/>
      <c s="404" r="BO53"/>
      <c s="394" r="BP53" t="n">
        <f>IF(BO$16=0,0,-BO53/BO$16)</f>
        <v>0</v>
      </c>
      <c s="326" r="BQ53"/>
      <c s="404" r="BR53"/>
      <c s="394" r="BS53" t="n">
        <f>IF(BR$16=0,0,-BR53/BR$16)</f>
        <v>0</v>
      </c>
      <c s="346" r="BT53"/>
      <c s="393" r="BU53" t="n">
        <f>IF(BU$6=0,0,(BF53*BF$6+BI53*BI$6+BL53*BL$6+BO53*BO$6+BR53*BR$6)/BU$6)</f>
        <v>0</v>
      </c>
      <c s="398" r="BV53" t="n">
        <f>IF(BU$16=0,0,-BU53/BU$16)</f>
        <v>0</v>
      </c>
      <c s="342" r="BW53"/>
      <c s="404" r="BX53"/>
      <c s="394" r="BY53" t="n">
        <f>IF(BX$16=0,0,-BX53/BX$16)</f>
        <v>0</v>
      </c>
      <c s="339" r="BZ53"/>
      <c s="404" r="CA53"/>
      <c s="394" r="CB53" t="n">
        <f>IF(CA$16=0,0,-CA53/CA$16)</f>
        <v>0</v>
      </c>
      <c s="339" r="CC53"/>
      <c s="404" r="CD53"/>
      <c s="394" r="CE53" t="n">
        <f>IF(CD$16=0,0,-CD53/CD$16)</f>
        <v>0</v>
      </c>
      <c s="339" r="CF53"/>
      <c s="404" r="CG53"/>
      <c s="394" r="CH53" t="n">
        <f>IF(CG$16=0,0,-CG53/CG$16)</f>
        <v>0</v>
      </c>
      <c s="326" r="CI53"/>
      <c s="404" r="CJ53"/>
      <c s="394" r="CK53" t="n">
        <f>IF(CJ$16=0,0,-CJ53/CJ$16)</f>
        <v>0</v>
      </c>
      <c s="346" r="CL53"/>
      <c s="393" r="CM53" t="n">
        <f>IF(CM$6=0,0,(BX53*BX$6+CA53*CA$6+CD53*CD$6+CG53*CG$6+CJ53*CJ$6)/CM$6)</f>
        <v>0</v>
      </c>
      <c s="398" r="CN53" t="n">
        <f>IF(CM$16=0,0,-CM53/CM$16)</f>
        <v>0</v>
      </c>
      <c s="342" r="CO53"/>
      <c s="379" r="CP53" t="n">
        <f>IF(CP$6=0,0,(D53*D$6+V53*V$6+AN53*AN$6+BF53*BF$6+BX53*BX$6)/CP$6)</f>
        <v>0</v>
      </c>
      <c s="378" r="CQ53" t="n">
        <f>IF(CP$16=0,0,-CP53/CP$16)</f>
        <v>0</v>
      </c>
      <c s="379" r="CR53"/>
      <c s="379" r="CS53" t="n">
        <f>IF(CS$6=0,0,(G53*G$6+Y53*Y$6+AQ53*AQ$6+BI53*BI$6+CA53*CA$6)/CS$6)</f>
        <v>0</v>
      </c>
      <c s="378" r="CT53" t="n">
        <f>IF(CS$16=0,0,-CS53/CS$16)</f>
        <v>0</v>
      </c>
      <c s="379" r="CU53"/>
      <c s="379" r="CV53" t="n">
        <f>IF(CV$6=0,0,(J53*J$6+AB53*AB$6+AT53*AT$6+BL53*BL$6+CD53*CD$6)/CV$6)</f>
        <v>0</v>
      </c>
      <c s="378" r="CW53" t="n">
        <f>IF(CV$16=0,0,-CV53/CV$16)</f>
        <v>0</v>
      </c>
      <c s="379" r="CX53"/>
      <c s="379" r="CY53" t="n">
        <f>IF(CY$6=0,0,(M53*M$6+AE53*AE$6+AW53*AW$6+BO53*BO$6+CG53*CG$6)/CY$6)</f>
        <v>0</v>
      </c>
      <c s="378" r="CZ53" t="n">
        <f>IF(CY$16=0,0,-CY53/CY$16)</f>
        <v>0</v>
      </c>
      <c s="379" r="DA53"/>
      <c s="379" r="DB53" t="n">
        <f>IF(DB$6=0,0,(P53*P$6+AH53*AH$6+AZ53*AZ$6+BR53*BR$6+CJ53*CJ$6)/DB$6)</f>
        <v>0</v>
      </c>
      <c s="378" r="DC53" t="n">
        <f>IF(DB$16=0,0,-DB53/DB$16)</f>
        <v>0</v>
      </c>
      <c s="339" r="DD53"/>
      <c s="379" r="DE53" t="n">
        <f>IF(DE$6=0,0,(S53*S$6+AK53*AK$6+BC53*BC$6+BU53*BU$6+CM53*CM$6)/DE$6)</f>
        <v>0</v>
      </c>
      <c s="378" r="DF53" t="n">
        <f>IF(DE$16=0,0,-DE53/DE$16)</f>
        <v>0</v>
      </c>
      <c s="380" r="DG53"/>
    </row>
    <row r="54" spans="1:111" ht="16.05" customHeight="1" outlineLevel="1">
      <c s="314" r="A54"/>
      <c s="420" r="B54" t="str">
        <v>         -研发人工&amp;部门(R2)</v>
      </c>
      <c s="336" r="C54"/>
      <c s="404" r="D54"/>
      <c s="394" r="E54" t="n">
        <f>IF(D$16=0,0,-D54/D$16)</f>
        <v>0</v>
      </c>
      <c s="339" r="F54"/>
      <c s="404" r="G54"/>
      <c s="394" r="H54" t="n">
        <f>IF(G$16=0,0,-G54/G$16)</f>
        <v>0</v>
      </c>
      <c s="339" r="I54"/>
      <c s="404" r="J54"/>
      <c s="394" r="K54" t="n">
        <f>IF(J$16=0,0,-J54/J$16)</f>
        <v>0</v>
      </c>
      <c s="339" r="L54"/>
      <c s="404" r="M54"/>
      <c s="394" r="N54" t="n">
        <f>IF(M$16=0,0,-M54/M$16)</f>
        <v>0</v>
      </c>
      <c s="326" r="O54"/>
      <c s="404" r="P54"/>
      <c s="394" r="Q54" t="n">
        <f>IF(P$16=0,0,-P54/P$16)</f>
        <v>0</v>
      </c>
      <c s="346" r="R54"/>
      <c s="393" r="S54" t="n">
        <f>IF(S$6=0,0,(D54*D$6+G54*G$6+J54*J$6+M54*M$6+P54*P$6)/S$6)</f>
        <v>0</v>
      </c>
      <c s="394" r="T54" t="n">
        <f>IF(S$16=0,0,-S54/S$16)</f>
        <v>0</v>
      </c>
      <c s="342" r="U54"/>
      <c s="404" r="V54"/>
      <c s="394" r="W54" t="n">
        <f>IF(V$16=0,0,-V54/V$16)</f>
        <v>0</v>
      </c>
      <c s="339" r="X54"/>
      <c s="404" r="Y54"/>
      <c s="394" r="Z54" t="n">
        <f>IF(Y$16=0,0,-Y54/Y$16)</f>
        <v>0</v>
      </c>
      <c s="339" r="AA54"/>
      <c s="404" r="AB54"/>
      <c s="394" r="AC54" t="n">
        <f>IF(AB$16=0,0,-AB54/AB$16)</f>
        <v>0</v>
      </c>
      <c s="339" r="AD54"/>
      <c s="404" r="AE54"/>
      <c s="394" r="AF54" t="n">
        <f>IF(AE$16=0,0,-AE54/AE$16)</f>
        <v>0</v>
      </c>
      <c s="326" r="AG54"/>
      <c s="404" r="AH54"/>
      <c s="394" r="AI54" t="n">
        <f>IF(AH$16=0,0,-AH54/AH$16)</f>
        <v>0</v>
      </c>
      <c s="346" r="AJ54"/>
      <c s="393" r="AK54" t="n">
        <f>IF(AK$6=0,0,(V54*V$6+Y54*Y$6+AB54*AB$6+AE54*AE$6+AH54*AH$6)/AK$6)</f>
        <v>0</v>
      </c>
      <c s="394" r="AL54" t="n">
        <f>IF(AK$16=0,0,-AK54/AK$16)</f>
        <v>0</v>
      </c>
      <c s="342" r="AM54"/>
      <c s="404" r="AN54"/>
      <c s="394" r="AO54" t="n">
        <f>IF(AN$16=0,0,-AN54/AN$16)</f>
        <v>0</v>
      </c>
      <c s="339" r="AP54"/>
      <c s="404" r="AQ54"/>
      <c s="394" r="AR54" t="n">
        <f>IF(AQ$16=0,0,-AQ54/AQ$16)</f>
        <v>0</v>
      </c>
      <c s="339" r="AS54"/>
      <c s="404" r="AT54"/>
      <c s="394" r="AU54" t="n">
        <f>IF(AT$16=0,0,-AT54/AT$16)</f>
        <v>0</v>
      </c>
      <c s="339" r="AV54"/>
      <c s="404" r="AW54"/>
      <c s="394" r="AX54" t="n">
        <f>IF(AW$16=0,0,-AW54/AW$16)</f>
        <v>0</v>
      </c>
      <c s="326" r="AY54"/>
      <c s="404" r="AZ54"/>
      <c s="394" r="BA54" t="n">
        <f>IF(AZ$16=0,0,-AZ54/AZ$16)</f>
        <v>0</v>
      </c>
      <c s="346" r="BB54"/>
      <c s="393" r="BC54" t="n">
        <f>IF(BC$6=0,0,(AN54*AN$6+AQ54*AQ$6+AT54*AT$6+AW54*AW$6+AZ54*AZ$6)/BC$6)</f>
        <v>0</v>
      </c>
      <c s="394" r="BD54" t="n">
        <f>IF(BC$16=0,0,-BC54/BC$16)</f>
        <v>0</v>
      </c>
      <c s="342" r="BE54"/>
      <c s="404" r="BF54"/>
      <c s="394" r="BG54" t="n">
        <f>IF(BF$16=0,0,-BF54/BF$16)</f>
        <v>0</v>
      </c>
      <c s="339" r="BH54"/>
      <c s="404" r="BI54"/>
      <c s="394" r="BJ54" t="n">
        <f>IF(BI$16=0,0,-BI54/BI$16)</f>
        <v>0</v>
      </c>
      <c s="339" r="BK54"/>
      <c s="404" r="BL54"/>
      <c s="394" r="BM54" t="n">
        <f>IF(BL$16=0,0,-BL54/BL$16)</f>
        <v>0</v>
      </c>
      <c s="339" r="BN54"/>
      <c s="404" r="BO54"/>
      <c s="394" r="BP54" t="n">
        <f>IF(BO$16=0,0,-BO54/BO$16)</f>
        <v>0</v>
      </c>
      <c s="326" r="BQ54"/>
      <c s="404" r="BR54"/>
      <c s="394" r="BS54" t="n">
        <f>IF(BR$16=0,0,-BR54/BR$16)</f>
        <v>0</v>
      </c>
      <c s="346" r="BT54"/>
      <c s="393" r="BU54" t="n">
        <f>IF(BU$6=0,0,(BF54*BF$6+BI54*BI$6+BL54*BL$6+BO54*BO$6+BR54*BR$6)/BU$6)</f>
        <v>0</v>
      </c>
      <c s="398" r="BV54" t="n">
        <f>IF(BU$16=0,0,-BU54/BU$16)</f>
        <v>0</v>
      </c>
      <c s="342" r="BW54"/>
      <c s="404" r="BX54"/>
      <c s="394" r="BY54" t="n">
        <f>IF(BX$16=0,0,-BX54/BX$16)</f>
        <v>0</v>
      </c>
      <c s="339" r="BZ54"/>
      <c s="404" r="CA54"/>
      <c s="394" r="CB54" t="n">
        <f>IF(CA$16=0,0,-CA54/CA$16)</f>
        <v>0</v>
      </c>
      <c s="339" r="CC54"/>
      <c s="404" r="CD54"/>
      <c s="394" r="CE54" t="n">
        <f>IF(CD$16=0,0,-CD54/CD$16)</f>
        <v>0</v>
      </c>
      <c s="339" r="CF54"/>
      <c s="404" r="CG54"/>
      <c s="394" r="CH54" t="n">
        <f>IF(CG$16=0,0,-CG54/CG$16)</f>
        <v>0</v>
      </c>
      <c s="326" r="CI54"/>
      <c s="404" r="CJ54"/>
      <c s="394" r="CK54" t="n">
        <f>IF(CJ$16=0,0,-CJ54/CJ$16)</f>
        <v>0</v>
      </c>
      <c s="346" r="CL54"/>
      <c s="393" r="CM54" t="n">
        <f>IF(CM$6=0,0,(BX54*BX$6+CA54*CA$6+CD54*CD$6+CG54*CG$6+CJ54*CJ$6)/CM$6)</f>
        <v>0</v>
      </c>
      <c s="398" r="CN54" t="n">
        <f>IF(CM$16=0,0,-CM54/CM$16)</f>
        <v>0</v>
      </c>
      <c s="342" r="CO54"/>
      <c s="379" r="CP54" t="n">
        <f>IF(CP$6=0,0,(D54*D$6+V54*V$6+AN54*AN$6+BF54*BF$6+BX54*BX$6)/CP$6)</f>
        <v>0</v>
      </c>
      <c s="378" r="CQ54" t="n">
        <f>IF(CP$16=0,0,-CP54/CP$16)</f>
        <v>0</v>
      </c>
      <c s="379" r="CR54"/>
      <c s="379" r="CS54" t="n">
        <f>IF(CS$6=0,0,(G54*G$6+Y54*Y$6+AQ54*AQ$6+BI54*BI$6+CA54*CA$6)/CS$6)</f>
        <v>0</v>
      </c>
      <c s="378" r="CT54" t="n">
        <f>IF(CS$16=0,0,-CS54/CS$16)</f>
        <v>0</v>
      </c>
      <c s="379" r="CU54"/>
      <c s="379" r="CV54" t="n">
        <f>IF(CV$6=0,0,(J54*J$6+AB54*AB$6+AT54*AT$6+BL54*BL$6+CD54*CD$6)/CV$6)</f>
        <v>0</v>
      </c>
      <c s="378" r="CW54" t="n">
        <f>IF(CV$16=0,0,-CV54/CV$16)</f>
        <v>0</v>
      </c>
      <c s="379" r="CX54"/>
      <c s="379" r="CY54" t="n">
        <f>IF(CY$6=0,0,(M54*M$6+AE54*AE$6+AW54*AW$6+BO54*BO$6+CG54*CG$6)/CY$6)</f>
        <v>0</v>
      </c>
      <c s="378" r="CZ54" t="n">
        <f>IF(CY$16=0,0,-CY54/CY$16)</f>
        <v>0</v>
      </c>
      <c s="379" r="DA54"/>
      <c s="379" r="DB54" t="n">
        <f>IF(DB$6=0,0,(P54*P$6+AH54*AH$6+AZ54*AZ$6+BR54*BR$6+CJ54*CJ$6)/DB$6)</f>
        <v>0</v>
      </c>
      <c s="378" r="DC54" t="n">
        <f>IF(DB$16=0,0,-DB54/DB$16)</f>
        <v>0</v>
      </c>
      <c s="339" r="DD54"/>
      <c s="379" r="DE54" t="n">
        <f>IF(DE$6=0,0,(S54*S$6+AK54*AK$6+BC54*BC$6+BU54*BU$6+CM54*CM$6)/DE$6)</f>
        <v>0</v>
      </c>
      <c s="378" r="DF54" t="n">
        <f>IF(DE$16=0,0,-DE54/DE$16)</f>
        <v>0</v>
      </c>
      <c s="380" r="DG54"/>
    </row>
    <row r="55" spans="1:111" ht="16.05" customHeight="1" outlineLevel="1">
      <c s="314" r="A55"/>
      <c s="420" r="B55" t="str">
        <v>         -通用&amp;预研分摊(R3)</v>
      </c>
      <c s="336" r="C55"/>
      <c s="404" r="D55"/>
      <c s="394" r="E55" t="n">
        <f>IF(D$16=0,0,-D55/D$16)</f>
        <v>0</v>
      </c>
      <c s="339" r="F55"/>
      <c s="404" r="G55"/>
      <c s="394" r="H55" t="n">
        <f>IF(G$16=0,0,-G55/G$16)</f>
        <v>0</v>
      </c>
      <c s="339" r="I55"/>
      <c s="404" r="J55"/>
      <c s="394" r="K55" t="n">
        <f>IF(J$16=0,0,-J55/J$16)</f>
        <v>0</v>
      </c>
      <c s="339" r="L55"/>
      <c s="404" r="M55"/>
      <c s="394" r="N55" t="n">
        <f>IF(M$16=0,0,-M55/M$16)</f>
        <v>0</v>
      </c>
      <c s="326" r="O55"/>
      <c s="404" r="P55"/>
      <c s="394" r="Q55" t="n">
        <f>IF(P$16=0,0,-P55/P$16)</f>
        <v>0</v>
      </c>
      <c s="346" r="R55"/>
      <c s="393" r="S55" t="n">
        <f>IF(S$6=0,0,(D55*D$6+G55*G$6+J55*J$6+M55*M$6+P55*P$6)/S$6)</f>
        <v>0</v>
      </c>
      <c s="394" r="T55" t="n">
        <f>IF(S$16=0,0,-S55/S$16)</f>
        <v>0</v>
      </c>
      <c s="342" r="U55"/>
      <c s="404" r="V55"/>
      <c s="394" r="W55" t="n">
        <f>IF(V$16=0,0,-V55/V$16)</f>
        <v>0</v>
      </c>
      <c s="339" r="X55"/>
      <c s="404" r="Y55"/>
      <c s="394" r="Z55" t="n">
        <f>IF(Y$16=0,0,-Y55/Y$16)</f>
        <v>0</v>
      </c>
      <c s="339" r="AA55"/>
      <c s="404" r="AB55"/>
      <c s="394" r="AC55" t="n">
        <f>IF(AB$16=0,0,-AB55/AB$16)</f>
        <v>0</v>
      </c>
      <c s="339" r="AD55"/>
      <c s="404" r="AE55"/>
      <c s="394" r="AF55" t="n">
        <f>IF(AE$16=0,0,-AE55/AE$16)</f>
        <v>0</v>
      </c>
      <c s="326" r="AG55"/>
      <c s="404" r="AH55"/>
      <c s="394" r="AI55" t="n">
        <f>IF(AH$16=0,0,-AH55/AH$16)</f>
        <v>0</v>
      </c>
      <c s="346" r="AJ55"/>
      <c s="393" r="AK55" t="n">
        <f>IF(AK$6=0,0,(V55*V$6+Y55*Y$6+AB55*AB$6+AE55*AE$6+AH55*AH$6)/AK$6)</f>
        <v>0</v>
      </c>
      <c s="394" r="AL55" t="n">
        <f>IF(AK$16=0,0,-AK55/AK$16)</f>
        <v>0</v>
      </c>
      <c s="342" r="AM55"/>
      <c s="404" r="AN55"/>
      <c s="394" r="AO55" t="n">
        <f>IF(AN$16=0,0,-AN55/AN$16)</f>
        <v>0</v>
      </c>
      <c s="339" r="AP55"/>
      <c s="404" r="AQ55"/>
      <c s="394" r="AR55" t="n">
        <f>IF(AQ$16=0,0,-AQ55/AQ$16)</f>
        <v>0</v>
      </c>
      <c s="339" r="AS55"/>
      <c s="404" r="AT55"/>
      <c s="394" r="AU55" t="n">
        <f>IF(AT$16=0,0,-AT55/AT$16)</f>
        <v>0</v>
      </c>
      <c s="339" r="AV55"/>
      <c s="404" r="AW55"/>
      <c s="394" r="AX55" t="n">
        <f>IF(AW$16=0,0,-AW55/AW$16)</f>
        <v>0</v>
      </c>
      <c s="326" r="AY55"/>
      <c s="404" r="AZ55"/>
      <c s="394" r="BA55" t="n">
        <f>IF(AZ$16=0,0,-AZ55/AZ$16)</f>
        <v>0</v>
      </c>
      <c s="346" r="BB55"/>
      <c s="393" r="BC55" t="n">
        <f>IF(BC$6=0,0,(AN55*AN$6+AQ55*AQ$6+AT55*AT$6+AW55*AW$6+AZ55*AZ$6)/BC$6)</f>
        <v>0</v>
      </c>
      <c s="394" r="BD55" t="n">
        <f>IF(BC$16=0,0,-BC55/BC$16)</f>
        <v>0</v>
      </c>
      <c s="342" r="BE55"/>
      <c s="404" r="BF55"/>
      <c s="394" r="BG55" t="n">
        <f>IF(BF$16=0,0,-BF55/BF$16)</f>
        <v>0</v>
      </c>
      <c s="339" r="BH55"/>
      <c s="404" r="BI55"/>
      <c s="394" r="BJ55" t="n">
        <f>IF(BI$16=0,0,-BI55/BI$16)</f>
        <v>0</v>
      </c>
      <c s="339" r="BK55"/>
      <c s="404" r="BL55"/>
      <c s="394" r="BM55" t="n">
        <f>IF(BL$16=0,0,-BL55/BL$16)</f>
        <v>0</v>
      </c>
      <c s="339" r="BN55"/>
      <c s="404" r="BO55"/>
      <c s="394" r="BP55" t="n">
        <f>IF(BO$16=0,0,-BO55/BO$16)</f>
        <v>0</v>
      </c>
      <c s="326" r="BQ55"/>
      <c s="404" r="BR55"/>
      <c s="394" r="BS55" t="n">
        <f>IF(BR$16=0,0,-BR55/BR$16)</f>
        <v>0</v>
      </c>
      <c s="346" r="BT55"/>
      <c s="393" r="BU55" t="n">
        <f>IF(BU$6=0,0,(BF55*BF$6+BI55*BI$6+BL55*BL$6+BO55*BO$6+BR55*BR$6)/BU$6)</f>
        <v>0</v>
      </c>
      <c s="398" r="BV55" t="n">
        <f>IF(BU$16=0,0,-BU55/BU$16)</f>
        <v>0</v>
      </c>
      <c s="342" r="BW55"/>
      <c s="404" r="BX55"/>
      <c s="394" r="BY55" t="n">
        <f>IF(BX$16=0,0,-BX55/BX$16)</f>
        <v>0</v>
      </c>
      <c s="339" r="BZ55"/>
      <c s="404" r="CA55"/>
      <c s="394" r="CB55" t="n">
        <f>IF(CA$16=0,0,-CA55/CA$16)</f>
        <v>0</v>
      </c>
      <c s="339" r="CC55"/>
      <c s="404" r="CD55"/>
      <c s="394" r="CE55" t="n">
        <f>IF(CD$16=0,0,-CD55/CD$16)</f>
        <v>0</v>
      </c>
      <c s="339" r="CF55"/>
      <c s="404" r="CG55"/>
      <c s="394" r="CH55" t="n">
        <f>IF(CG$16=0,0,-CG55/CG$16)</f>
        <v>0</v>
      </c>
      <c s="326" r="CI55"/>
      <c s="404" r="CJ55"/>
      <c s="394" r="CK55" t="n">
        <f>IF(CJ$16=0,0,-CJ55/CJ$16)</f>
        <v>0</v>
      </c>
      <c s="346" r="CL55"/>
      <c s="393" r="CM55" t="n">
        <f>IF(CM$6=0,0,(BX55*BX$6+CA55*CA$6+CD55*CD$6+CG55*CG$6+CJ55*CJ$6)/CM$6)</f>
        <v>0</v>
      </c>
      <c s="398" r="CN55" t="n">
        <f>IF(CM$16=0,0,-CM55/CM$16)</f>
        <v>0</v>
      </c>
      <c s="342" r="CO55"/>
      <c s="379" r="CP55" t="n">
        <f>IF(CP$6=0,0,(D55*D$6+V55*V$6+AN55*AN$6+BF55*BF$6+BX55*BX$6)/CP$6)</f>
        <v>0</v>
      </c>
      <c s="378" r="CQ55" t="n">
        <f>IF(CP$16=0,0,-CP55/CP$16)</f>
        <v>0</v>
      </c>
      <c s="379" r="CR55"/>
      <c s="379" r="CS55" t="n">
        <f>IF(CS$6=0,0,(G55*G$6+Y55*Y$6+AQ55*AQ$6+BI55*BI$6+CA55*CA$6)/CS$6)</f>
        <v>0</v>
      </c>
      <c s="378" r="CT55" t="n">
        <f>IF(CS$16=0,0,-CS55/CS$16)</f>
        <v>0</v>
      </c>
      <c s="379" r="CU55"/>
      <c s="379" r="CV55" t="n">
        <f>IF(CV$6=0,0,(J55*J$6+AB55*AB$6+AT55*AT$6+BL55*BL$6+CD55*CD$6)/CV$6)</f>
        <v>0</v>
      </c>
      <c s="378" r="CW55" t="n">
        <f>IF(CV$16=0,0,-CV55/CV$16)</f>
        <v>0</v>
      </c>
      <c s="379" r="CX55"/>
      <c s="379" r="CY55" t="n">
        <f>IF(CY$6=0,0,(M55*M$6+AE55*AE$6+AW55*AW$6+BO55*BO$6+CG55*CG$6)/CY$6)</f>
        <v>0</v>
      </c>
      <c s="378" r="CZ55" t="n">
        <f>IF(CY$16=0,0,-CY55/CY$16)</f>
        <v>0</v>
      </c>
      <c s="379" r="DA55"/>
      <c s="379" r="DB55" t="n">
        <f>IF(DB$6=0,0,(P55*P$6+AH55*AH$6+AZ55*AZ$6+BR55*BR$6+CJ55*CJ$6)/DB$6)</f>
        <v>0</v>
      </c>
      <c s="378" r="DC55" t="n">
        <f>IF(DB$16=0,0,-DB55/DB$16)</f>
        <v>0</v>
      </c>
      <c s="339" r="DD55"/>
      <c s="379" r="DE55" t="n">
        <f>IF(DE$6=0,0,(S55*S$6+AK55*AK$6+BC55*BC$6+BU55*BU$6+CM55*CM$6)/DE$6)</f>
        <v>0</v>
      </c>
      <c s="378" r="DF55" t="n">
        <f>IF(DE$16=0,0,-DE55/DE$16)</f>
        <v>0</v>
      </c>
      <c s="380" r="DG55"/>
    </row>
    <row r="56" spans="1:111">
      <c s="314" r="A56"/>
      <c s="322" r="B56" t="str">
        <v>      销交服费用</v>
      </c>
      <c s="336" r="C56"/>
      <c s="339" r="D56" t="n">
        <f>SUM(D57,D64)</f>
        <v>0</v>
      </c>
      <c s="342" r="E56" t="n">
        <f>IF(D$16=0,0,-D56/D$16)</f>
        <v>0</v>
      </c>
      <c s="339" r="F56"/>
      <c s="339" r="G56" t="n">
        <f>SUM(G57,G64)</f>
        <v>0</v>
      </c>
      <c s="342" r="H56" t="n">
        <f>IF(G$16=0,0,-G56/G$16)</f>
        <v>0</v>
      </c>
      <c s="339" r="I56"/>
      <c s="339" r="J56" t="n">
        <f>SUM(J57,J64)</f>
        <v>0</v>
      </c>
      <c s="342" r="K56" t="n">
        <f>IF(J$16=0,0,-J56/J$16)</f>
        <v>0</v>
      </c>
      <c s="339" r="L56"/>
      <c s="339" r="M56" t="n">
        <f>SUM(M57,M64)</f>
        <v>0</v>
      </c>
      <c s="342" r="N56" t="n">
        <f>IF(M$16=0,0,-M56/M$16)</f>
        <v>0</v>
      </c>
      <c s="339" r="O56"/>
      <c s="339" r="P56" t="n">
        <f>SUM(P57,P64)</f>
        <v>0</v>
      </c>
      <c s="342" r="Q56" t="n">
        <f>IF(P$16=0,0,-P56/P$16)</f>
        <v>0</v>
      </c>
      <c s="321" r="R56"/>
      <c s="339" r="S56" t="n">
        <f>IF(S$6=0,0,(D56*D$6+G56*G$6+J56*J$6+M56*M$6+P56*P$6)/S$6)</f>
        <v>0</v>
      </c>
      <c s="342" r="T56" t="n">
        <f>IF(S$16=0,0,-S56/S$16)</f>
        <v>0</v>
      </c>
      <c s="342" r="U56"/>
      <c s="339" r="V56" t="n">
        <f>SUM(V57,V64)</f>
        <v>0</v>
      </c>
      <c s="342" r="W56" t="n">
        <f>IF(V$16=0,0,-V56/V$16)</f>
        <v>0</v>
      </c>
      <c s="339" r="X56"/>
      <c s="339" r="Y56" t="n">
        <f>SUM(Y57,Y64)</f>
        <v>0</v>
      </c>
      <c s="342" r="Z56" t="n">
        <f>IF(Y$16=0,0,-Y56/Y$16)</f>
        <v>0</v>
      </c>
      <c s="339" r="AA56"/>
      <c s="339" r="AB56" t="n">
        <f>SUM(AB57,AB64)</f>
        <v>0</v>
      </c>
      <c s="342" r="AC56" t="n">
        <f>IF(AB$16=0,0,-AB56/AB$16)</f>
        <v>0</v>
      </c>
      <c s="339" r="AD56"/>
      <c s="339" r="AE56" t="n">
        <f>SUM(AE57,AE64)</f>
        <v>0</v>
      </c>
      <c s="342" r="AF56" t="n">
        <f>IF(AE$16=0,0,-AE56/AE$16)</f>
        <v>0</v>
      </c>
      <c s="339" r="AG56"/>
      <c s="339" r="AH56" t="n">
        <f>SUM(AH57,AH64)</f>
        <v>0</v>
      </c>
      <c s="342" r="AI56" t="n">
        <f>IF(AH$16=0,0,-AH56/AH$16)</f>
        <v>0</v>
      </c>
      <c s="321" r="AJ56"/>
      <c s="339" r="AK56" t="n">
        <f>IF(AK$6=0,0,(V56*V$6+Y56*Y$6+AB56*AB$6+AE56*AE$6+AH56*AH$6)/AK$6)</f>
        <v>0</v>
      </c>
      <c s="342" r="AL56" t="n">
        <f>IF(AK$16=0,0,-AK56/AK$16)</f>
        <v>0</v>
      </c>
      <c s="342" r="AM56"/>
      <c s="339" r="AN56" t="n">
        <f>SUM(AN57,AN64)</f>
        <v>0</v>
      </c>
      <c s="342" r="AO56" t="n">
        <f>IF(AN$16=0,0,-AN56/AN$16)</f>
        <v>0</v>
      </c>
      <c s="339" r="AP56"/>
      <c s="339" r="AQ56" t="n">
        <f>SUM(AQ57,AQ64)</f>
        <v>0</v>
      </c>
      <c s="342" r="AR56" t="n">
        <f>IF(AQ$16=0,0,-AQ56/AQ$16)</f>
        <v>0</v>
      </c>
      <c s="339" r="AS56"/>
      <c s="339" r="AT56" t="n">
        <f>SUM(AT57,AT64)</f>
        <v>0</v>
      </c>
      <c s="342" r="AU56" t="n">
        <f>IF(AT$16=0,0,-AT56/AT$16)</f>
        <v>0</v>
      </c>
      <c s="339" r="AV56"/>
      <c s="339" r="AW56" t="n">
        <f>SUM(AW57,AW64)</f>
        <v>0</v>
      </c>
      <c s="342" r="AX56" t="n">
        <f>IF(AW$16=0,0,-AW56/AW$16)</f>
        <v>0</v>
      </c>
      <c s="339" r="AY56"/>
      <c s="339" r="AZ56" t="n">
        <f>SUM(AZ57,AZ64)</f>
        <v>0</v>
      </c>
      <c s="342" r="BA56" t="n">
        <f>IF(AZ$16=0,0,-AZ56/AZ$16)</f>
        <v>0</v>
      </c>
      <c s="321" r="BB56"/>
      <c s="339" r="BC56" t="n">
        <f>IF(BC$6=0,0,(AN56*AN$6+AQ56*AQ$6+AT56*AT$6+AW56*AW$6+AZ56*AZ$6)/BC$6)</f>
        <v>0</v>
      </c>
      <c s="342" r="BD56" t="n">
        <f>IF(BC$16=0,0,-BC56/BC$16)</f>
        <v>0</v>
      </c>
      <c s="342" r="BE56"/>
      <c s="339" r="BF56" t="n">
        <f>SUM(BF57,BF64)</f>
        <v>0</v>
      </c>
      <c s="342" r="BG56" t="n">
        <f>IF(BF$16=0,0,-BF56/BF$16)</f>
        <v>0</v>
      </c>
      <c s="339" r="BH56"/>
      <c s="339" r="BI56" t="n">
        <f>SUM(BI57,BI64)</f>
        <v>0</v>
      </c>
      <c s="342" r="BJ56" t="n">
        <f>IF(BI$16=0,0,-BI56/BI$16)</f>
        <v>0</v>
      </c>
      <c s="339" r="BK56"/>
      <c s="339" r="BL56" t="n">
        <f>SUM(BL57,BL64)</f>
        <v>0</v>
      </c>
      <c s="342" r="BM56" t="n">
        <f>IF(BL$16=0,0,-BL56/BL$16)</f>
        <v>0</v>
      </c>
      <c s="339" r="BN56"/>
      <c s="339" r="BO56" t="n">
        <f>SUM(BO57,BO64)</f>
        <v>0</v>
      </c>
      <c s="342" r="BP56" t="n">
        <f>IF(BO$16=0,0,-BO56/BO$16)</f>
        <v>0</v>
      </c>
      <c s="339" r="BQ56"/>
      <c s="339" r="BR56" t="n">
        <f>SUM(BR57,BR64)</f>
        <v>0</v>
      </c>
      <c s="342" r="BS56" t="n">
        <f>IF(BR$16=0,0,-BR56/BR$16)</f>
        <v>0</v>
      </c>
      <c s="321" r="BT56"/>
      <c s="339" r="BU56" t="n">
        <f>IF(BU$6=0,0,(BF56*BF$6+BI56*BI$6+BL56*BL$6+BO56*BO$6+BR56*BR$6)/BU$6)</f>
        <v>0</v>
      </c>
      <c s="342" r="BV56" t="n">
        <f>IF(BU$16=0,0,-BU56/BU$16)</f>
        <v>0</v>
      </c>
      <c s="342" r="BW56"/>
      <c s="339" r="BX56" t="n">
        <f>SUM(BX57,BX64)</f>
        <v>0</v>
      </c>
      <c s="342" r="BY56" t="n">
        <f>IF(BX$16=0,0,-BX56/BX$16)</f>
        <v>0</v>
      </c>
      <c s="339" r="BZ56"/>
      <c s="339" r="CA56" t="n">
        <f>SUM(CA57,CA64)</f>
        <v>0</v>
      </c>
      <c s="342" r="CB56" t="n">
        <f>IF(CA$16=0,0,-CA56/CA$16)</f>
        <v>0</v>
      </c>
      <c s="339" r="CC56"/>
      <c s="339" r="CD56" t="n">
        <f>SUM(CD57,CD64)</f>
        <v>0</v>
      </c>
      <c s="342" r="CE56" t="n">
        <f>IF(CD$16=0,0,-CD56/CD$16)</f>
        <v>0</v>
      </c>
      <c s="339" r="CF56"/>
      <c s="339" r="CG56" t="n">
        <f>SUM(CG57,CG64)</f>
        <v>0</v>
      </c>
      <c s="342" r="CH56" t="n">
        <f>IF(CG$16=0,0,-CG56/CG$16)</f>
        <v>0</v>
      </c>
      <c s="339" r="CI56"/>
      <c s="339" r="CJ56" t="n">
        <f>SUM(CJ57,CJ64)</f>
        <v>0</v>
      </c>
      <c s="342" r="CK56" t="n">
        <f>IF(CJ$16=0,0,-CJ56/CJ$16)</f>
        <v>0</v>
      </c>
      <c s="321" r="CL56"/>
      <c s="339" r="CM56" t="n">
        <f>IF(CM$6=0,0,(BX56*BX$6+CA56*CA$6+CD56*CD$6+CG56*CG$6+CJ56*CJ$6)/CM$6)</f>
        <v>0</v>
      </c>
      <c s="342" r="CN56" t="n">
        <f>IF(CM$16=0,0,-CM56/CM$16)</f>
        <v>0</v>
      </c>
      <c s="342" r="CO56"/>
      <c s="339" r="CP56" t="n">
        <f>IF(CP$6=0,0,(D56*D$6+V56*V$6+AN56*AN$6+BF56*BF$6+BX56*BX$6)/CP$6)</f>
        <v>0</v>
      </c>
      <c s="342" r="CQ56" t="n">
        <f>IF(CP$16=0,0,-CP56/CP$16)</f>
        <v>0</v>
      </c>
      <c s="339" r="CR56"/>
      <c s="339" r="CS56" t="n">
        <f>IF(CS$6=0,0,(G56*G$6+Y56*Y$6+AQ56*AQ$6+BI56*BI$6+CA56*CA$6)/CS$6)</f>
        <v>0</v>
      </c>
      <c s="342" r="CT56" t="n">
        <f>IF(CS$16=0,0,-CS56/CS$16)</f>
        <v>0</v>
      </c>
      <c s="339" r="CU56"/>
      <c s="339" r="CV56" t="n">
        <f>IF(CV$6=0,0,(J56*J$6+AB56*AB$6+AT56*AT$6+BL56*BL$6+CD56*CD$6)/CV$6)</f>
        <v>0</v>
      </c>
      <c s="342" r="CW56" t="n">
        <f>IF(CV$16=0,0,-CV56/CV$16)</f>
        <v>0</v>
      </c>
      <c s="339" r="CX56"/>
      <c s="339" r="CY56" t="n">
        <f>IF(CY$6=0,0,(M56*M$6+AE56*AE$6+AW56*AW$6+BO56*BO$6+CG56*CG$6)/CY$6)</f>
        <v>0</v>
      </c>
      <c s="342" r="CZ56" t="n">
        <f>IF(CY$16=0,0,-CY56/CY$16)</f>
        <v>0</v>
      </c>
      <c s="339" r="DA56"/>
      <c s="339" r="DB56" t="n">
        <f>IF(DB$6=0,0,(P56*P$6+AH56*AH$6+AZ56*AZ$6+BR56*BR$6+CJ56*CJ$6)/DB$6)</f>
        <v>0</v>
      </c>
      <c s="342" r="DC56" t="n">
        <f>IF(DB$16=0,0,-DB56/DB$16)</f>
        <v>0</v>
      </c>
      <c s="339" r="DD56"/>
      <c s="339" r="DE56" t="n">
        <f>IF(DE$6=0,0,(S56*S$6+AK56*AK$6+BC56*BC$6+BU56*BU$6+CM56*CM$6)/DE$6)</f>
        <v>0</v>
      </c>
      <c s="342" r="DF56" t="n">
        <f>IF(DE$16=0,0,-DE56/DE$16)</f>
        <v>0</v>
      </c>
      <c s="380" r="DG56"/>
    </row>
    <row r="57" spans="1:111" outlineLevel="1">
      <c s="421" r="A57"/>
      <c s="422" r="B57" t="str">
        <v>          变动销交服费用</v>
      </c>
      <c s="423" r="C57"/>
      <c s="424" r="D57" t="n">
        <f>SUM(D58:D63)</f>
        <v>0</v>
      </c>
      <c s="425" r="E57" t="n">
        <f>IF(D$16=0,0,-D57/D$16)</f>
        <v>0</v>
      </c>
      <c s="424" r="F57"/>
      <c s="424" r="G57" t="n">
        <f>SUM(G58:G63)</f>
        <v>0</v>
      </c>
      <c s="425" r="H57" t="n">
        <f>IF(G$16=0,0,-G57/G$16)</f>
        <v>0</v>
      </c>
      <c s="424" r="I57"/>
      <c s="424" r="J57" t="n">
        <f>SUM(J58:J63)</f>
        <v>0</v>
      </c>
      <c s="425" r="K57" t="n">
        <f>IF(J$16=0,0,-J57/J$16)</f>
        <v>0</v>
      </c>
      <c s="424" r="L57"/>
      <c s="424" r="M57" t="n">
        <f>SUM(M58:M63)</f>
        <v>0</v>
      </c>
      <c s="425" r="N57" t="n">
        <f>IF(M$16=0,0,-M57/M$16)</f>
        <v>0</v>
      </c>
      <c s="424" r="O57"/>
      <c s="424" r="P57" t="n">
        <f>SUM(P58:P63)</f>
        <v>0</v>
      </c>
      <c s="425" r="Q57" t="n">
        <f>IF(P$16=0,0,-P57/P$16)</f>
        <v>0</v>
      </c>
      <c s="426" r="R57"/>
      <c s="424" r="S57" t="n">
        <f>IF(S$6=0,0,(D57*D$6+G57*G$6+J57*J$6+M57*M$6+P57*P$6)/S$6)</f>
        <v>0</v>
      </c>
      <c s="425" r="T57" t="n">
        <f>IF(S$16=0,0,-S57/S$16)</f>
        <v>0</v>
      </c>
      <c s="425" r="U57"/>
      <c s="424" r="V57" t="n">
        <f>SUM(V58:V63)</f>
        <v>0</v>
      </c>
      <c s="425" r="W57" t="n">
        <f>IF(V$16=0,0,-V57/V$16)</f>
        <v>0</v>
      </c>
      <c s="424" r="X57"/>
      <c s="424" r="Y57" t="n">
        <f>SUM(Y58:Y63)</f>
        <v>0</v>
      </c>
      <c s="425" r="Z57" t="n">
        <f>IF(Y$16=0,0,-Y57/Y$16)</f>
        <v>0</v>
      </c>
      <c s="424" r="AA57"/>
      <c s="424" r="AB57" t="n">
        <f>SUM(AB58:AB63)</f>
        <v>0</v>
      </c>
      <c s="425" r="AC57" t="n">
        <f>IF(AB$16=0,0,-AB57/AB$16)</f>
        <v>0</v>
      </c>
      <c s="424" r="AD57"/>
      <c s="424" r="AE57" t="n">
        <f>SUM(AE58:AE63)</f>
        <v>0</v>
      </c>
      <c s="425" r="AF57" t="n">
        <f>IF(AE$16=0,0,-AE57/AE$16)</f>
        <v>0</v>
      </c>
      <c s="424" r="AG57"/>
      <c s="424" r="AH57" t="n">
        <f>SUM(AH58:AH63)</f>
        <v>0</v>
      </c>
      <c s="425" r="AI57" t="n">
        <f>IF(AH$16=0,0,-AH57/AH$16)</f>
        <v>0</v>
      </c>
      <c s="426" r="AJ57"/>
      <c s="424" r="AK57" t="n">
        <f>IF(AK$6=0,0,(V57*V$6+Y57*Y$6+AB57*AB$6+AE57*AE$6+AH57*AH$6)/AK$6)</f>
        <v>0</v>
      </c>
      <c s="425" r="AL57" t="n">
        <f>IF(AK$16=0,0,-AK57/AK$16)</f>
        <v>0</v>
      </c>
      <c s="425" r="AM57"/>
      <c s="424" r="AN57" t="n">
        <f>SUM(AN58:AN63)</f>
        <v>0</v>
      </c>
      <c s="425" r="AO57" t="n">
        <f>IF(AN$16=0,0,-AN57/AN$16)</f>
        <v>0</v>
      </c>
      <c s="424" r="AP57"/>
      <c s="424" r="AQ57" t="n">
        <f>SUM(AQ58:AQ63)</f>
        <v>0</v>
      </c>
      <c s="425" r="AR57" t="n">
        <f>IF(AQ$16=0,0,-AQ57/AQ$16)</f>
        <v>0</v>
      </c>
      <c s="424" r="AS57"/>
      <c s="424" r="AT57" t="n">
        <f>SUM(AT58:AT63)</f>
        <v>0</v>
      </c>
      <c s="425" r="AU57" t="n">
        <f>IF(AT$16=0,0,-AT57/AT$16)</f>
        <v>0</v>
      </c>
      <c s="424" r="AV57"/>
      <c s="424" r="AW57" t="n">
        <f>SUM(AW58:AW63)</f>
        <v>0</v>
      </c>
      <c s="425" r="AX57" t="n">
        <f>IF(AW$16=0,0,-AW57/AW$16)</f>
        <v>0</v>
      </c>
      <c s="424" r="AY57"/>
      <c s="424" r="AZ57" t="n">
        <f>SUM(AZ58:AZ63)</f>
        <v>0</v>
      </c>
      <c s="425" r="BA57" t="n">
        <f>IF(AZ$16=0,0,-AZ57/AZ$16)</f>
        <v>0</v>
      </c>
      <c s="426" r="BB57"/>
      <c s="424" r="BC57" t="n">
        <f>IF(BC$6=0,0,(AN57*AN$6+AQ57*AQ$6+AT57*AT$6+AW57*AW$6+AZ57*AZ$6)/BC$6)</f>
        <v>0</v>
      </c>
      <c s="425" r="BD57" t="n">
        <f>IF(BC$16=0,0,-BC57/BC$16)</f>
        <v>0</v>
      </c>
      <c s="425" r="BE57"/>
      <c s="424" r="BF57" t="n">
        <f>SUM(BF58:BF63)</f>
        <v>0</v>
      </c>
      <c s="425" r="BG57" t="n">
        <f>IF(BF$16=0,0,-BF57/BF$16)</f>
        <v>0</v>
      </c>
      <c s="424" r="BH57"/>
      <c s="424" r="BI57" t="n">
        <f>SUM(BI58:BI63)</f>
        <v>0</v>
      </c>
      <c s="425" r="BJ57" t="n">
        <f>IF(BI$16=0,0,-BI57/BI$16)</f>
        <v>0</v>
      </c>
      <c s="424" r="BK57"/>
      <c s="424" r="BL57" t="n">
        <f>SUM(BL58:BL63)</f>
        <v>0</v>
      </c>
      <c s="425" r="BM57" t="n">
        <f>IF(BL$16=0,0,-BL57/BL$16)</f>
        <v>0</v>
      </c>
      <c s="424" r="BN57"/>
      <c s="424" r="BO57" t="n">
        <f>SUM(BO58:BO63)</f>
        <v>0</v>
      </c>
      <c s="425" r="BP57" t="n">
        <f>IF(BO$16=0,0,-BO57/BO$16)</f>
        <v>0</v>
      </c>
      <c s="424" r="BQ57"/>
      <c s="424" r="BR57" t="n">
        <f>SUM(BR58:BR63)</f>
        <v>0</v>
      </c>
      <c s="425" r="BS57" t="n">
        <f>IF(BR$16=0,0,-BR57/BR$16)</f>
        <v>0</v>
      </c>
      <c s="426" r="BT57"/>
      <c s="424" r="BU57" t="n">
        <f>IF(BU$6=0,0,(BF57*BF$6+BI57*BI$6+BL57*BL$6+BO57*BO$6+BR57*BR$6)/BU$6)</f>
        <v>0</v>
      </c>
      <c s="425" r="BV57" t="n">
        <f>IF(BU$16=0,0,-BU57/BU$16)</f>
        <v>0</v>
      </c>
      <c s="425" r="BW57"/>
      <c s="424" r="BX57" t="n">
        <f>SUM(BX58:BX63)</f>
        <v>0</v>
      </c>
      <c s="425" r="BY57" t="n">
        <f>IF(BX$16=0,0,-BX57/BX$16)</f>
        <v>0</v>
      </c>
      <c s="424" r="BZ57"/>
      <c s="424" r="CA57" t="n">
        <f>SUM(CA58:CA63)</f>
        <v>0</v>
      </c>
      <c s="425" r="CB57" t="n">
        <f>IF(CA$16=0,0,-CA57/CA$16)</f>
        <v>0</v>
      </c>
      <c s="424" r="CC57"/>
      <c s="424" r="CD57" t="n">
        <f>SUM(CD58:CD63)</f>
        <v>0</v>
      </c>
      <c s="425" r="CE57" t="n">
        <f>IF(CD$16=0,0,-CD57/CD$16)</f>
        <v>0</v>
      </c>
      <c s="424" r="CF57"/>
      <c s="424" r="CG57" t="n">
        <f>SUM(CG58:CG63)</f>
        <v>0</v>
      </c>
      <c s="425" r="CH57" t="n">
        <f>IF(CG$16=0,0,-CG57/CG$16)</f>
        <v>0</v>
      </c>
      <c s="424" r="CI57"/>
      <c s="424" r="CJ57" t="n">
        <f>SUM(CJ58:CJ63)</f>
        <v>0</v>
      </c>
      <c s="425" r="CK57" t="n">
        <f>IF(CJ$16=0,0,-CJ57/CJ$16)</f>
        <v>0</v>
      </c>
      <c s="426" r="CL57"/>
      <c s="424" r="CM57" t="n">
        <f>IF(CM$6=0,0,(BX57*BX$6+CA57*CA$6+CD57*CD$6+CG57*CG$6+CJ57*CJ$6)/CM$6)</f>
        <v>0</v>
      </c>
      <c s="425" r="CN57" t="n">
        <f>IF(CM$16=0,0,-CM57/CM$16)</f>
        <v>0</v>
      </c>
      <c s="425" r="CO57"/>
      <c s="424" r="CP57" t="n">
        <f>IF(CP$6=0,0,(D57*D$6+V57*V$6+AN57*AN$6+BF57*BF$6+BX57*BX$6)/CP$6)</f>
        <v>0</v>
      </c>
      <c s="425" r="CQ57" t="n">
        <f>IF(CP$16=0,0,-CP57/CP$16)</f>
        <v>0</v>
      </c>
      <c s="424" r="CR57"/>
      <c s="424" r="CS57" t="n">
        <f>IF(CS$6=0,0,(G57*G$6+Y57*Y$6+AQ57*AQ$6+BI57*BI$6+CA57*CA$6)/CS$6)</f>
        <v>0</v>
      </c>
      <c s="425" r="CT57" t="n">
        <f>IF(CS$16=0,0,-CS57/CS$16)</f>
        <v>0</v>
      </c>
      <c s="424" r="CU57"/>
      <c s="424" r="CV57" t="n">
        <f>IF(CV$6=0,0,(J57*J$6+AB57*AB$6+AT57*AT$6+BL57*BL$6+CD57*CD$6)/CV$6)</f>
        <v>0</v>
      </c>
      <c s="425" r="CW57" t="n">
        <f>IF(CV$16=0,0,-CV57/CV$16)</f>
        <v>0</v>
      </c>
      <c s="424" r="CX57"/>
      <c s="424" r="CY57" t="n">
        <f>IF(CY$6=0,0,(M57*M$6+AE57*AE$6+AW57*AW$6+BO57*BO$6+CG57*CG$6)/CY$6)</f>
        <v>0</v>
      </c>
      <c s="425" r="CZ57" t="n">
        <f>IF(CY$16=0,0,-CY57/CY$16)</f>
        <v>0</v>
      </c>
      <c s="424" r="DA57"/>
      <c s="424" r="DB57" t="n">
        <f>IF(DB$6=0,0,(P57*P$6+AH57*AH$6+AZ57*AZ$6+BR57*BR$6+CJ57*CJ$6)/DB$6)</f>
        <v>0</v>
      </c>
      <c s="425" r="DC57" t="n">
        <f>IF(DB$16=0,0,-DB57/DB$16)</f>
        <v>0</v>
      </c>
      <c s="424" r="DD57"/>
      <c s="424" r="DE57" t="n">
        <f>IF(DE$6=0,0,(S57*S$6+AK57*AK$6+BC57*BC$6+BU57*BU$6+CM57*CM$6)/DE$6)</f>
        <v>0</v>
      </c>
      <c s="425" r="DF57" t="n">
        <f>IF(DE$16=0,0,-DE57/DE$16)</f>
        <v>0</v>
      </c>
      <c s="427" r="DG57"/>
    </row>
    <row r="58" spans="1:111" ht="16.05" customHeight="1" outlineLevel="2">
      <c s="314" r="A58"/>
      <c s="358" r="B58" t="str">
        <v>                  -商务政策</v>
      </c>
      <c s="336" r="C58"/>
      <c s="382" r="D58"/>
      <c s="394" r="E58" t="n">
        <f>IF(D$16=0,0,-D58/D$16)</f>
        <v>0</v>
      </c>
      <c s="339" r="F58"/>
      <c s="382" r="G58"/>
      <c s="394" r="H58" t="n">
        <f>IF(G$16=0,0,-G58/G$16)</f>
        <v>0</v>
      </c>
      <c s="339" r="I58"/>
      <c s="382" r="J58"/>
      <c s="394" r="K58" t="n">
        <f>IF(J$16=0,0,-J58/J$16)</f>
        <v>0</v>
      </c>
      <c s="339" r="L58"/>
      <c s="382" r="M58"/>
      <c s="394" r="N58" t="n">
        <f>IF(M$16=0,0,-M58/M$16)</f>
        <v>0</v>
      </c>
      <c s="339" r="O58"/>
      <c s="382" r="P58"/>
      <c s="394" r="Q58" t="n">
        <f>IF(P$16=0,0,-P58/P$16)</f>
        <v>0</v>
      </c>
      <c s="321" r="R58"/>
      <c s="393" r="S58" t="n">
        <f>IF(S$6=0,0,(D58*D$6+G58*G$6+J58*J$6+M58*M$6+P58*P$6)/S$6)</f>
        <v>0</v>
      </c>
      <c s="394" r="T58" t="n">
        <f>IF(S$16=0,0,-S58/S$16)</f>
        <v>0</v>
      </c>
      <c s="342" r="U58"/>
      <c s="382" r="V58"/>
      <c s="394" r="W58" t="n">
        <f>IF(V$16=0,0,-V58/V$16)</f>
        <v>0</v>
      </c>
      <c s="339" r="X58"/>
      <c s="382" r="Y58"/>
      <c s="394" r="Z58" t="n">
        <f>IF(Y$16=0,0,-Y58/Y$16)</f>
        <v>0</v>
      </c>
      <c s="339" r="AA58"/>
      <c s="382" r="AB58"/>
      <c s="394" r="AC58" t="n">
        <f>IF(AB$16=0,0,-AB58/AB$16)</f>
        <v>0</v>
      </c>
      <c s="339" r="AD58"/>
      <c s="382" r="AE58"/>
      <c s="394" r="AF58" t="n">
        <f>IF(AE$16=0,0,-AE58/AE$16)</f>
        <v>0</v>
      </c>
      <c s="339" r="AG58"/>
      <c s="382" r="AH58"/>
      <c s="394" r="AI58" t="n">
        <f>IF(AH$16=0,0,-AH58/AH$16)</f>
        <v>0</v>
      </c>
      <c s="321" r="AJ58"/>
      <c s="393" r="AK58" t="n">
        <f>IF(AK$6=0,0,(V58*V$6+Y58*Y$6+AB58*AB$6+AE58*AE$6+AH58*AH$6)/AK$6)</f>
        <v>0</v>
      </c>
      <c s="394" r="AL58" t="n">
        <f>IF(AK$16=0,0,-AK58/AK$16)</f>
        <v>0</v>
      </c>
      <c s="342" r="AM58"/>
      <c s="382" r="AN58"/>
      <c s="394" r="AO58" t="n">
        <f>IF(AN$16=0,0,-AN58/AN$16)</f>
        <v>0</v>
      </c>
      <c s="339" r="AP58"/>
      <c s="382" r="AQ58"/>
      <c s="394" r="AR58" t="n">
        <f>IF(AQ$16=0,0,-AQ58/AQ$16)</f>
        <v>0</v>
      </c>
      <c s="339" r="AS58"/>
      <c s="382" r="AT58"/>
      <c s="394" r="AU58" t="n">
        <f>IF(AT$16=0,0,-AT58/AT$16)</f>
        <v>0</v>
      </c>
      <c s="339" r="AV58"/>
      <c s="382" r="AW58"/>
      <c s="394" r="AX58" t="n">
        <f>IF(AW$16=0,0,-AW58/AW$16)</f>
        <v>0</v>
      </c>
      <c s="339" r="AY58"/>
      <c s="382" r="AZ58"/>
      <c s="394" r="BA58" t="n">
        <f>IF(AZ$16=0,0,-AZ58/AZ$16)</f>
        <v>0</v>
      </c>
      <c s="321" r="BB58"/>
      <c s="393" r="BC58" t="n">
        <f>IF(BC$6=0,0,(AN58*AN$6+AQ58*AQ$6+AT58*AT$6+AW58*AW$6+AZ58*AZ$6)/BC$6)</f>
        <v>0</v>
      </c>
      <c s="394" r="BD58" t="n">
        <f>IF(BC$16=0,0,-BC58/BC$16)</f>
        <v>0</v>
      </c>
      <c s="342" r="BE58"/>
      <c s="382" r="BF58"/>
      <c s="394" r="BG58" t="n">
        <f>IF(BF$16=0,0,-BF58/BF$16)</f>
        <v>0</v>
      </c>
      <c s="339" r="BH58"/>
      <c s="382" r="BI58"/>
      <c s="394" r="BJ58" t="n">
        <f>IF(BI$16=0,0,-BI58/BI$16)</f>
        <v>0</v>
      </c>
      <c s="339" r="BK58"/>
      <c s="382" r="BL58"/>
      <c s="394" r="BM58" t="n">
        <f>IF(BL$16=0,0,-BL58/BL$16)</f>
        <v>0</v>
      </c>
      <c s="339" r="BN58"/>
      <c s="382" r="BO58"/>
      <c s="394" r="BP58" t="n">
        <f>IF(BO$16=0,0,-BO58/BO$16)</f>
        <v>0</v>
      </c>
      <c s="339" r="BQ58"/>
      <c s="382" r="BR58"/>
      <c s="394" r="BS58" t="n">
        <f>IF(BR$16=0,0,-BR58/BR$16)</f>
        <v>0</v>
      </c>
      <c s="321" r="BT58"/>
      <c s="393" r="BU58" t="n">
        <f>IF(BU$6=0,0,(BF58*BF$6+BI58*BI$6+BL58*BL$6+BO58*BO$6+BR58*BR$6)/BU$6)</f>
        <v>0</v>
      </c>
      <c s="398" r="BV58" t="n">
        <f>IF(BU$16=0,0,-BU58/BU$16)</f>
        <v>0</v>
      </c>
      <c s="342" r="BW58"/>
      <c s="382" r="BX58"/>
      <c s="394" r="BY58" t="n">
        <f>IF(BX$16=0,0,-BX58/BX$16)</f>
        <v>0</v>
      </c>
      <c s="339" r="BZ58"/>
      <c s="382" r="CA58"/>
      <c s="394" r="CB58" t="n">
        <f>IF(CA$16=0,0,-CA58/CA$16)</f>
        <v>0</v>
      </c>
      <c s="339" r="CC58"/>
      <c s="382" r="CD58"/>
      <c s="394" r="CE58" t="n">
        <f>IF(CD$16=0,0,-CD58/CD$16)</f>
        <v>0</v>
      </c>
      <c s="339" r="CF58"/>
      <c s="382" r="CG58"/>
      <c s="394" r="CH58" t="n">
        <f>IF(CG$16=0,0,-CG58/CG$16)</f>
        <v>0</v>
      </c>
      <c s="339" r="CI58"/>
      <c s="382" r="CJ58"/>
      <c s="394" r="CK58" t="n">
        <f>IF(CJ$16=0,0,-CJ58/CJ$16)</f>
        <v>0</v>
      </c>
      <c s="321" r="CL58"/>
      <c s="393" r="CM58" t="n">
        <f>IF(CM$6=0,0,(BX58*BX$6+CA58*CA$6+CD58*CD$6+CG58*CG$6+CJ58*CJ$6)/CM$6)</f>
        <v>0</v>
      </c>
      <c s="398" r="CN58" t="n">
        <f>IF(CM$16=0,0,-CM58/CM$16)</f>
        <v>0</v>
      </c>
      <c s="342" r="CO58"/>
      <c s="379" r="CP58" t="n">
        <f>IF(CP$6=0,0,(D58*D$6+V58*V$6+AN58*AN$6+BF58*BF$6+BX58*BX$6)/CP$6)</f>
        <v>0</v>
      </c>
      <c s="378" r="CQ58" t="n">
        <f>IF(CP$16=0,0,-CP58/CP$16)</f>
        <v>0</v>
      </c>
      <c s="379" r="CR58"/>
      <c s="379" r="CS58" t="n">
        <f>IF(CS$6=0,0,(G58*G$6+Y58*Y$6+AQ58*AQ$6+BI58*BI$6+CA58*CA$6)/CS$6)</f>
        <v>0</v>
      </c>
      <c s="378" r="CT58" t="n">
        <f>IF(CS$16=0,0,-CS58/CS$16)</f>
        <v>0</v>
      </c>
      <c s="379" r="CU58"/>
      <c s="379" r="CV58" t="n">
        <f>IF(CV$6=0,0,(J58*J$6+AB58*AB$6+AT58*AT$6+BL58*BL$6+CD58*CD$6)/CV$6)</f>
        <v>0</v>
      </c>
      <c s="378" r="CW58" t="n">
        <f>IF(CV$16=0,0,-CV58/CV$16)</f>
        <v>0</v>
      </c>
      <c s="379" r="CX58"/>
      <c s="379" r="CY58" t="n">
        <f>IF(CY$6=0,0,(M58*M$6+AE58*AE$6+AW58*AW$6+BO58*BO$6+CG58*CG$6)/CY$6)</f>
        <v>0</v>
      </c>
      <c s="378" r="CZ58" t="n">
        <f>IF(CY$16=0,0,-CY58/CY$16)</f>
        <v>0</v>
      </c>
      <c s="379" r="DA58"/>
      <c s="379" r="DB58" t="n">
        <f>IF(DB$6=0,0,(P58*P$6+AH58*AH$6+AZ58*AZ$6+BR58*BR$6+CJ58*CJ$6)/DB$6)</f>
        <v>0</v>
      </c>
      <c s="378" r="DC58" t="n">
        <f>IF(DB$16=0,0,-DB58/DB$16)</f>
        <v>0</v>
      </c>
      <c s="339" r="DD58"/>
      <c s="379" r="DE58" t="n">
        <f>IF(DE$6=0,0,(S58*S$6+AK58*AK$6+BC58*BC$6+BU58*BU$6+CM58*CM$6)/DE$6)</f>
        <v>0</v>
      </c>
      <c s="378" r="DF58" t="n">
        <f>IF(DE$16=0,0,-DE58/DE$16)</f>
        <v>0</v>
      </c>
      <c s="380" r="DG58"/>
    </row>
    <row r="59" spans="1:111" ht="16.05" customHeight="1" outlineLevel="2">
      <c s="314" r="A59"/>
      <c s="358" r="B59" t="str">
        <v>                  -用户权益（礼盒、胶垫等）</v>
      </c>
      <c s="336" r="C59"/>
      <c s="382" r="D59"/>
      <c s="394" r="E59" t="n">
        <f>IF(D$16=0,0,-D59/D$16)</f>
        <v>0</v>
      </c>
      <c s="339" r="F59"/>
      <c s="382" r="G59"/>
      <c s="394" r="H59" t="n">
        <f>IF(G$16=0,0,-G59/G$16)</f>
        <v>0</v>
      </c>
      <c s="339" r="I59"/>
      <c s="382" r="J59"/>
      <c s="394" r="K59" t="n">
        <f>IF(J$16=0,0,-J59/J$16)</f>
        <v>0</v>
      </c>
      <c s="339" r="L59"/>
      <c s="382" r="M59"/>
      <c s="394" r="N59" t="n">
        <f>IF(M$16=0,0,-M59/M$16)</f>
        <v>0</v>
      </c>
      <c s="339" r="O59"/>
      <c s="382" r="P59"/>
      <c s="394" r="Q59" t="n">
        <f>IF(P$16=0,0,-P59/P$16)</f>
        <v>0</v>
      </c>
      <c s="321" r="R59"/>
      <c s="393" r="S59" t="n">
        <f>IF(S$6=0,0,(D59*D$6+G59*G$6+J59*J$6+M59*M$6+P59*P$6)/S$6)</f>
        <v>0</v>
      </c>
      <c s="394" r="T59" t="n">
        <f>IF(S$16=0,0,-S59/S$16)</f>
        <v>0</v>
      </c>
      <c s="342" r="U59"/>
      <c s="382" r="V59"/>
      <c s="394" r="W59" t="n">
        <f>IF(V$16=0,0,-V59/V$16)</f>
        <v>0</v>
      </c>
      <c s="339" r="X59"/>
      <c s="382" r="Y59"/>
      <c s="394" r="Z59" t="n">
        <f>IF(Y$16=0,0,-Y59/Y$16)</f>
        <v>0</v>
      </c>
      <c s="339" r="AA59"/>
      <c s="382" r="AB59"/>
      <c s="394" r="AC59" t="n">
        <f>IF(AB$16=0,0,-AB59/AB$16)</f>
        <v>0</v>
      </c>
      <c s="339" r="AD59"/>
      <c s="382" r="AE59"/>
      <c s="394" r="AF59" t="n">
        <f>IF(AE$16=0,0,-AE59/AE$16)</f>
        <v>0</v>
      </c>
      <c s="339" r="AG59"/>
      <c s="382" r="AH59"/>
      <c s="394" r="AI59" t="n">
        <f>IF(AH$16=0,0,-AH59/AH$16)</f>
        <v>0</v>
      </c>
      <c s="321" r="AJ59"/>
      <c s="393" r="AK59" t="n">
        <f>IF(AK$6=0,0,(V59*V$6+Y59*Y$6+AB59*AB$6+AE59*AE$6+AH59*AH$6)/AK$6)</f>
        <v>0</v>
      </c>
      <c s="394" r="AL59" t="n">
        <f>IF(AK$16=0,0,-AK59/AK$16)</f>
        <v>0</v>
      </c>
      <c s="342" r="AM59"/>
      <c s="382" r="AN59"/>
      <c s="394" r="AO59" t="n">
        <f>IF(AN$16=0,0,-AN59/AN$16)</f>
        <v>0</v>
      </c>
      <c s="339" r="AP59"/>
      <c s="382" r="AQ59"/>
      <c s="394" r="AR59" t="n">
        <f>IF(AQ$16=0,0,-AQ59/AQ$16)</f>
        <v>0</v>
      </c>
      <c s="339" r="AS59"/>
      <c s="382" r="AT59"/>
      <c s="394" r="AU59" t="n">
        <f>IF(AT$16=0,0,-AT59/AT$16)</f>
        <v>0</v>
      </c>
      <c s="339" r="AV59"/>
      <c s="382" r="AW59"/>
      <c s="394" r="AX59" t="n">
        <f>IF(AW$16=0,0,-AW59/AW$16)</f>
        <v>0</v>
      </c>
      <c s="339" r="AY59"/>
      <c s="382" r="AZ59"/>
      <c s="394" r="BA59" t="n">
        <f>IF(AZ$16=0,0,-AZ59/AZ$16)</f>
        <v>0</v>
      </c>
      <c s="321" r="BB59"/>
      <c s="393" r="BC59" t="n">
        <f>IF(BC$6=0,0,(AN59*AN$6+AQ59*AQ$6+AT59*AT$6+AW59*AW$6+AZ59*AZ$6)/BC$6)</f>
        <v>0</v>
      </c>
      <c s="394" r="BD59" t="n">
        <f>IF(BC$16=0,0,-BC59/BC$16)</f>
        <v>0</v>
      </c>
      <c s="342" r="BE59"/>
      <c s="382" r="BF59"/>
      <c s="394" r="BG59" t="n">
        <f>IF(BF$16=0,0,-BF59/BF$16)</f>
        <v>0</v>
      </c>
      <c s="339" r="BH59"/>
      <c s="382" r="BI59"/>
      <c s="394" r="BJ59" t="n">
        <f>IF(BI$16=0,0,-BI59/BI$16)</f>
        <v>0</v>
      </c>
      <c s="339" r="BK59"/>
      <c s="382" r="BL59"/>
      <c s="394" r="BM59" t="n">
        <f>IF(BL$16=0,0,-BL59/BL$16)</f>
        <v>0</v>
      </c>
      <c s="339" r="BN59"/>
      <c s="382" r="BO59"/>
      <c s="394" r="BP59" t="n">
        <f>IF(BO$16=0,0,-BO59/BO$16)</f>
        <v>0</v>
      </c>
      <c s="339" r="BQ59"/>
      <c s="382" r="BR59"/>
      <c s="394" r="BS59" t="n">
        <f>IF(BR$16=0,0,-BR59/BR$16)</f>
        <v>0</v>
      </c>
      <c s="321" r="BT59"/>
      <c s="393" r="BU59" t="n">
        <f>IF(BU$6=0,0,(BF59*BF$6+BI59*BI$6+BL59*BL$6+BO59*BO$6+BR59*BR$6)/BU$6)</f>
        <v>0</v>
      </c>
      <c s="398" r="BV59" t="n">
        <f>IF(BU$16=0,0,-BU59/BU$16)</f>
        <v>0</v>
      </c>
      <c s="342" r="BW59"/>
      <c s="382" r="BX59"/>
      <c s="394" r="BY59" t="n">
        <f>IF(BX$16=0,0,-BX59/BX$16)</f>
        <v>0</v>
      </c>
      <c s="339" r="BZ59"/>
      <c s="382" r="CA59"/>
      <c s="394" r="CB59" t="n">
        <f>IF(CA$16=0,0,-CA59/CA$16)</f>
        <v>0</v>
      </c>
      <c s="339" r="CC59"/>
      <c s="382" r="CD59"/>
      <c s="394" r="CE59" t="n">
        <f>IF(CD$16=0,0,-CD59/CD$16)</f>
        <v>0</v>
      </c>
      <c s="339" r="CF59"/>
      <c s="382" r="CG59"/>
      <c s="394" r="CH59" t="n">
        <f>IF(CG$16=0,0,-CG59/CG$16)</f>
        <v>0</v>
      </c>
      <c s="339" r="CI59"/>
      <c s="382" r="CJ59"/>
      <c s="394" r="CK59" t="n">
        <f>IF(CJ$16=0,0,-CJ59/CJ$16)</f>
        <v>0</v>
      </c>
      <c s="321" r="CL59"/>
      <c s="393" r="CM59" t="n">
        <f>IF(CM$6=0,0,(BX59*BX$6+CA59*CA$6+CD59*CD$6+CG59*CG$6+CJ59*CJ$6)/CM$6)</f>
        <v>0</v>
      </c>
      <c s="398" r="CN59" t="n">
        <f>IF(CM$16=0,0,-CM59/CM$16)</f>
        <v>0</v>
      </c>
      <c s="342" r="CO59"/>
      <c s="379" r="CP59" t="n">
        <f>IF(CP$6=0,0,(D59*D$6+V59*V$6+AN59*AN$6+BF59*BF$6+BX59*BX$6)/CP$6)</f>
        <v>0</v>
      </c>
      <c s="378" r="CQ59" t="n">
        <f>IF(CP$16=0,0,-CP59/CP$16)</f>
        <v>0</v>
      </c>
      <c s="379" r="CR59"/>
      <c s="379" r="CS59" t="n">
        <f>IF(CS$6=0,0,(G59*G$6+Y59*Y$6+AQ59*AQ$6+BI59*BI$6+CA59*CA$6)/CS$6)</f>
        <v>0</v>
      </c>
      <c s="378" r="CT59" t="n">
        <f>IF(CS$16=0,0,-CS59/CS$16)</f>
        <v>0</v>
      </c>
      <c s="379" r="CU59"/>
      <c s="379" r="CV59" t="n">
        <f>IF(CV$6=0,0,(J59*J$6+AB59*AB$6+AT59*AT$6+BL59*BL$6+CD59*CD$6)/CV$6)</f>
        <v>0</v>
      </c>
      <c s="378" r="CW59" t="n">
        <f>IF(CV$16=0,0,-CV59/CV$16)</f>
        <v>0</v>
      </c>
      <c s="379" r="CX59"/>
      <c s="379" r="CY59" t="n">
        <f>IF(CY$6=0,0,(M59*M$6+AE59*AE$6+AW59*AW$6+BO59*BO$6+CG59*CG$6)/CY$6)</f>
        <v>0</v>
      </c>
      <c s="378" r="CZ59" t="n">
        <f>IF(CY$16=0,0,-CY59/CY$16)</f>
        <v>0</v>
      </c>
      <c s="379" r="DA59"/>
      <c s="379" r="DB59" t="n">
        <f>IF(DB$6=0,0,(P59*P$6+AH59*AH$6+AZ59*AZ$6+BR59*BR$6+CJ59*CJ$6)/DB$6)</f>
        <v>0</v>
      </c>
      <c s="378" r="DC59" t="n">
        <f>IF(DB$16=0,0,-DB59/DB$16)</f>
        <v>0</v>
      </c>
      <c s="339" r="DD59"/>
      <c s="379" r="DE59" t="n">
        <f>IF(DE$6=0,0,(S59*S$6+AK59*AK$6+BC59*BC$6+BU59*BU$6+CM59*CM$6)/DE$6)</f>
        <v>0</v>
      </c>
      <c s="378" r="DF59" t="n">
        <f>IF(DE$16=0,0,-DE59/DE$16)</f>
        <v>0</v>
      </c>
      <c s="380" r="DG59"/>
    </row>
    <row r="60" spans="1:111" outlineLevel="2">
      <c s="390" r="A60"/>
      <c s="358" r="B60" t="str">
        <v>                  -整车物流费用</v>
      </c>
      <c s="392" r="C60"/>
      <c s="382" r="D60"/>
      <c s="394" r="E60" t="n">
        <f>IF(D$16=0,0,-D60/D$16)</f>
        <v>0</v>
      </c>
      <c s="393" r="F60"/>
      <c s="382" r="G60"/>
      <c s="394" r="H60" t="n">
        <f>IF(G$16=0,0,-G60/G$16)</f>
        <v>0</v>
      </c>
      <c s="393" r="I60"/>
      <c s="382" r="J60"/>
      <c s="394" r="K60" t="n">
        <f>IF(J$16=0,0,-J60/J$16)</f>
        <v>0</v>
      </c>
      <c s="393" r="L60"/>
      <c s="382" r="M60"/>
      <c s="394" r="N60" t="n">
        <f>IF(M$16=0,0,-M60/M$16)</f>
        <v>0</v>
      </c>
      <c s="393" r="O60"/>
      <c s="382" r="P60"/>
      <c s="394" r="Q60" t="n">
        <f>IF(P$16=0,0,-P60/P$16)</f>
        <v>0</v>
      </c>
      <c s="390" r="R60"/>
      <c s="393" r="S60" t="n">
        <f>IF(S$6=0,0,(D60*D$6+G60*G$6+J60*J$6+M60*M$6+P60*P$6)/S$6)</f>
        <v>0</v>
      </c>
      <c s="398" r="T60" t="n">
        <f>IF(S$16=0,0,-S60/S$16)</f>
        <v>0</v>
      </c>
      <c s="398" r="U60"/>
      <c s="382" r="V60"/>
      <c s="394" r="W60" t="n">
        <f>IF(V$16=0,0,-V60/V$16)</f>
        <v>0</v>
      </c>
      <c s="393" r="X60"/>
      <c s="382" r="Y60"/>
      <c s="394" r="Z60" t="n">
        <f>IF(Y$16=0,0,-Y60/Y$16)</f>
        <v>0</v>
      </c>
      <c s="393" r="AA60"/>
      <c s="382" r="AB60"/>
      <c s="394" r="AC60" t="n">
        <f>IF(AB$16=0,0,-AB60/AB$16)</f>
        <v>0</v>
      </c>
      <c s="393" r="AD60"/>
      <c s="382" r="AE60"/>
      <c s="394" r="AF60" t="n">
        <f>IF(AE$16=0,0,-AE60/AE$16)</f>
        <v>0</v>
      </c>
      <c s="393" r="AG60"/>
      <c s="382" r="AH60"/>
      <c s="394" r="AI60" t="n">
        <f>IF(AH$16=0,0,-AH60/AH$16)</f>
        <v>0</v>
      </c>
      <c s="390" r="AJ60"/>
      <c s="393" r="AK60" t="n">
        <f>IF(AK$6=0,0,(V60*V$6+Y60*Y$6+AB60*AB$6+AE60*AE$6+AH60*AH$6)/AK$6)</f>
        <v>0</v>
      </c>
      <c s="398" r="AL60" t="n">
        <f>IF(AK$16=0,0,-AK60/AK$16)</f>
        <v>0</v>
      </c>
      <c s="398" r="AM60"/>
      <c s="382" r="AN60"/>
      <c s="394" r="AO60" t="n">
        <f>IF(AN$16=0,0,-AN60/AN$16)</f>
        <v>0</v>
      </c>
      <c s="393" r="AP60"/>
      <c s="382" r="AQ60"/>
      <c s="394" r="AR60" t="n">
        <f>IF(AQ$16=0,0,-AQ60/AQ$16)</f>
        <v>0</v>
      </c>
      <c s="393" r="AS60"/>
      <c s="382" r="AT60"/>
      <c s="394" r="AU60" t="n">
        <f>IF(AT$16=0,0,-AT60/AT$16)</f>
        <v>0</v>
      </c>
      <c s="393" r="AV60"/>
      <c s="382" r="AW60"/>
      <c s="394" r="AX60" t="n">
        <f>IF(AW$16=0,0,-AW60/AW$16)</f>
        <v>0</v>
      </c>
      <c s="393" r="AY60"/>
      <c s="382" r="AZ60"/>
      <c s="394" r="BA60" t="n">
        <f>IF(AZ$16=0,0,-AZ60/AZ$16)</f>
        <v>0</v>
      </c>
      <c s="390" r="BB60"/>
      <c s="393" r="BC60" t="n">
        <f>IF(BC$6=0,0,(AN60*AN$6+AQ60*AQ$6+AT60*AT$6+AW60*AW$6+AZ60*AZ$6)/BC$6)</f>
        <v>0</v>
      </c>
      <c s="398" r="BD60" t="n">
        <f>IF(BC$16=0,0,-BC60/BC$16)</f>
        <v>0</v>
      </c>
      <c s="398" r="BE60"/>
      <c s="382" r="BF60"/>
      <c s="394" r="BG60" t="n">
        <f>IF(BF$16=0,0,-BF60/BF$16)</f>
        <v>0</v>
      </c>
      <c s="393" r="BH60"/>
      <c s="382" r="BI60"/>
      <c s="394" r="BJ60" t="n">
        <f>IF(BI$16=0,0,-BI60/BI$16)</f>
        <v>0</v>
      </c>
      <c s="393" r="BK60"/>
      <c s="382" r="BL60"/>
      <c s="394" r="BM60" t="n">
        <f>IF(BL$16=0,0,-BL60/BL$16)</f>
        <v>0</v>
      </c>
      <c s="393" r="BN60"/>
      <c s="382" r="BO60"/>
      <c s="394" r="BP60" t="n">
        <f>IF(BO$16=0,0,-BO60/BO$16)</f>
        <v>0</v>
      </c>
      <c s="393" r="BQ60"/>
      <c s="382" r="BR60"/>
      <c s="394" r="BS60" t="n">
        <f>IF(BR$16=0,0,-BR60/BR$16)</f>
        <v>0</v>
      </c>
      <c s="390" r="BT60"/>
      <c s="393" r="BU60" t="n">
        <f>IF(BU$6=0,0,(BF60*BF$6+BI60*BI$6+BL60*BL$6+BO60*BO$6+BR60*BR$6)/BU$6)</f>
        <v>0</v>
      </c>
      <c s="398" r="BV60" t="n">
        <f>IF(BU$16=0,0,-BU60/BU$16)</f>
        <v>0</v>
      </c>
      <c s="398" r="BW60"/>
      <c s="382" r="BX60"/>
      <c s="394" r="BY60" t="n">
        <f>IF(BX$16=0,0,-BX60/BX$16)</f>
        <v>0</v>
      </c>
      <c s="393" r="BZ60"/>
      <c s="382" r="CA60"/>
      <c s="394" r="CB60" t="n">
        <f>IF(CA$16=0,0,-CA60/CA$16)</f>
        <v>0</v>
      </c>
      <c s="393" r="CC60"/>
      <c s="382" r="CD60"/>
      <c s="394" r="CE60" t="n">
        <f>IF(CD$16=0,0,-CD60/CD$16)</f>
        <v>0</v>
      </c>
      <c s="393" r="CF60"/>
      <c s="382" r="CG60"/>
      <c s="394" r="CH60" t="n">
        <f>IF(CG$16=0,0,-CG60/CG$16)</f>
        <v>0</v>
      </c>
      <c s="393" r="CI60"/>
      <c s="382" r="CJ60"/>
      <c s="394" r="CK60" t="n">
        <f>IF(CJ$16=0,0,-CJ60/CJ$16)</f>
        <v>0</v>
      </c>
      <c s="390" r="CL60"/>
      <c s="393" r="CM60" t="n">
        <f>IF(CM$6=0,0,(BX60*BX$6+CA60*CA$6+CD60*CD$6+CG60*CG$6+CJ60*CJ$6)/CM$6)</f>
        <v>0</v>
      </c>
      <c s="398" r="CN60" t="n">
        <f>IF(CM$16=0,0,-CM60/CM$16)</f>
        <v>0</v>
      </c>
      <c s="398" r="CO60"/>
      <c s="379" r="CP60" t="n">
        <f>IF(CP$6=0,0,(D60*D$6+V60*V$6+AN60*AN$6+BF60*BF$6+BX60*BX$6)/CP$6)</f>
        <v>0</v>
      </c>
      <c s="398" r="CQ60" t="n">
        <f>IF(CP$16=0,0,-CP60/CP$16)</f>
        <v>0</v>
      </c>
      <c s="393" r="CR60"/>
      <c s="379" r="CS60" t="n">
        <f>IF(CS$6=0,0,(G60*G$6+Y60*Y$6+AQ60*AQ$6+BI60*BI$6+CA60*CA$6)/CS$6)</f>
        <v>0</v>
      </c>
      <c s="398" r="CT60" t="n">
        <f>IF(CS$16=0,0,-CS60/CS$16)</f>
        <v>0</v>
      </c>
      <c s="393" r="CU60"/>
      <c s="379" r="CV60" t="n">
        <f>IF(CV$6=0,0,(J60*J$6+AB60*AB$6+AT60*AT$6+BL60*BL$6+CD60*CD$6)/CV$6)</f>
        <v>0</v>
      </c>
      <c s="398" r="CW60" t="n">
        <f>IF(CV$16=0,0,-CV60/CV$16)</f>
        <v>0</v>
      </c>
      <c s="393" r="CX60"/>
      <c s="379" r="CY60" t="n">
        <f>IF(CY$6=0,0,(M60*M$6+AE60*AE$6+AW60*AW$6+BO60*BO$6+CG60*CG$6)/CY$6)</f>
        <v>0</v>
      </c>
      <c s="398" r="CZ60" t="n">
        <f>IF(CY$16=0,0,-CY60/CY$16)</f>
        <v>0</v>
      </c>
      <c s="393" r="DA60"/>
      <c s="379" r="DB60" t="n">
        <f>IF(DB$6=0,0,(P60*P$6+AH60*AH$6+AZ60*AZ$6+BR60*BR$6+CJ60*CJ$6)/DB$6)</f>
        <v>0</v>
      </c>
      <c s="398" r="DC60" t="n">
        <f>IF(DB$16=0,0,-DB60/DB$16)</f>
        <v>0</v>
      </c>
      <c s="393" r="DD60"/>
      <c s="393" r="DE60" t="n">
        <f>IF(DE$6=0,0,(S60*S$6+AK60*AK$6+BC60*BC$6+BU60*BU$6+CM60*CM$6)/DE$6)</f>
        <v>0</v>
      </c>
      <c s="398" r="DF60" t="n">
        <f>IF(DE$16=0,0,-DE60/DE$16)</f>
        <v>0</v>
      </c>
      <c s="401" r="DG60"/>
    </row>
    <row r="61" spans="1:111" outlineLevel="2">
      <c s="390" r="A61"/>
      <c s="358" r="B61" t="str">
        <v>                  -支付通道手续费</v>
      </c>
      <c s="392" r="C61"/>
      <c s="382" r="D61"/>
      <c s="394" r="E61" t="n">
        <f>IF(D$16=0,0,-D61/D$16)</f>
        <v>0</v>
      </c>
      <c s="393" r="F61"/>
      <c s="382" r="G61"/>
      <c s="394" r="H61" t="n">
        <f>IF(G$16=0,0,-G61/G$16)</f>
        <v>0</v>
      </c>
      <c s="393" r="I61"/>
      <c s="382" r="J61"/>
      <c s="394" r="K61" t="n">
        <f>IF(J$16=0,0,-J61/J$16)</f>
        <v>0</v>
      </c>
      <c s="393" r="L61"/>
      <c s="382" r="M61"/>
      <c s="394" r="N61" t="n">
        <f>IF(M$16=0,0,-M61/M$16)</f>
        <v>0</v>
      </c>
      <c s="393" r="O61"/>
      <c s="382" r="P61"/>
      <c s="394" r="Q61" t="n">
        <f>IF(P$16=0,0,-P61/P$16)</f>
        <v>0</v>
      </c>
      <c s="390" r="R61"/>
      <c s="393" r="S61" t="n">
        <f>IF(S$6=0,0,(D61*D$6+G61*G$6+J61*J$6+M61*M$6+P61*P$6)/S$6)</f>
        <v>0</v>
      </c>
      <c s="398" r="T61" t="n">
        <f>IF(S$16=0,0,-S61/S$16)</f>
        <v>0</v>
      </c>
      <c s="398" r="U61"/>
      <c s="382" r="V61"/>
      <c s="394" r="W61" t="n">
        <f>IF(V$16=0,0,-V61/V$16)</f>
        <v>0</v>
      </c>
      <c s="393" r="X61"/>
      <c s="382" r="Y61"/>
      <c s="394" r="Z61" t="n">
        <f>IF(Y$16=0,0,-Y61/Y$16)</f>
        <v>0</v>
      </c>
      <c s="393" r="AA61"/>
      <c s="382" r="AB61"/>
      <c s="394" r="AC61" t="n">
        <f>IF(AB$16=0,0,-AB61/AB$16)</f>
        <v>0</v>
      </c>
      <c s="393" r="AD61"/>
      <c s="382" r="AE61"/>
      <c s="394" r="AF61" t="n">
        <f>IF(AE$16=0,0,-AE61/AE$16)</f>
        <v>0</v>
      </c>
      <c s="393" r="AG61"/>
      <c s="382" r="AH61"/>
      <c s="394" r="AI61" t="n">
        <f>IF(AH$16=0,0,-AH61/AH$16)</f>
        <v>0</v>
      </c>
      <c s="390" r="AJ61"/>
      <c s="393" r="AK61" t="n">
        <f>IF(AK$6=0,0,(V61*V$6+Y61*Y$6+AB61*AB$6+AE61*AE$6+AH61*AH$6)/AK$6)</f>
        <v>0</v>
      </c>
      <c s="398" r="AL61" t="n">
        <f>IF(AK$16=0,0,-AK61/AK$16)</f>
        <v>0</v>
      </c>
      <c s="398" r="AM61"/>
      <c s="382" r="AN61"/>
      <c s="394" r="AO61" t="n">
        <f>IF(AN$16=0,0,-AN61/AN$16)</f>
        <v>0</v>
      </c>
      <c s="393" r="AP61"/>
      <c s="382" r="AQ61"/>
      <c s="394" r="AR61" t="n">
        <f>IF(AQ$16=0,0,-AQ61/AQ$16)</f>
        <v>0</v>
      </c>
      <c s="393" r="AS61"/>
      <c s="382" r="AT61"/>
      <c s="394" r="AU61" t="n">
        <f>IF(AT$16=0,0,-AT61/AT$16)</f>
        <v>0</v>
      </c>
      <c s="393" r="AV61"/>
      <c s="382" r="AW61"/>
      <c s="394" r="AX61" t="n">
        <f>IF(AW$16=0,0,-AW61/AW$16)</f>
        <v>0</v>
      </c>
      <c s="393" r="AY61"/>
      <c s="382" r="AZ61"/>
      <c s="394" r="BA61" t="n">
        <f>IF(AZ$16=0,0,-AZ61/AZ$16)</f>
        <v>0</v>
      </c>
      <c s="390" r="BB61"/>
      <c s="393" r="BC61" t="n">
        <f>IF(BC$6=0,0,(AN61*AN$6+AQ61*AQ$6+AT61*AT$6+AW61*AW$6+AZ61*AZ$6)/BC$6)</f>
        <v>0</v>
      </c>
      <c s="398" r="BD61" t="n">
        <f>IF(BC$16=0,0,-BC61/BC$16)</f>
        <v>0</v>
      </c>
      <c s="398" r="BE61"/>
      <c s="382" r="BF61"/>
      <c s="394" r="BG61" t="n">
        <f>IF(BF$16=0,0,-BF61/BF$16)</f>
        <v>0</v>
      </c>
      <c s="393" r="BH61"/>
      <c s="382" r="BI61"/>
      <c s="394" r="BJ61" t="n">
        <f>IF(BI$16=0,0,-BI61/BI$16)</f>
        <v>0</v>
      </c>
      <c s="393" r="BK61"/>
      <c s="382" r="BL61"/>
      <c s="394" r="BM61" t="n">
        <f>IF(BL$16=0,0,-BL61/BL$16)</f>
        <v>0</v>
      </c>
      <c s="393" r="BN61"/>
      <c s="382" r="BO61"/>
      <c s="394" r="BP61" t="n">
        <f>IF(BO$16=0,0,-BO61/BO$16)</f>
        <v>0</v>
      </c>
      <c s="393" r="BQ61"/>
      <c s="382" r="BR61"/>
      <c s="394" r="BS61" t="n">
        <f>IF(BR$16=0,0,-BR61/BR$16)</f>
        <v>0</v>
      </c>
      <c s="390" r="BT61"/>
      <c s="393" r="BU61" t="n">
        <f>IF(BU$6=0,0,(BF61*BF$6+BI61*BI$6+BL61*BL$6+BO61*BO$6+BR61*BR$6)/BU$6)</f>
        <v>0</v>
      </c>
      <c s="398" r="BV61" t="n">
        <f>IF(BU$16=0,0,-BU61/BU$16)</f>
        <v>0</v>
      </c>
      <c s="398" r="BW61"/>
      <c s="382" r="BX61"/>
      <c s="394" r="BY61" t="n">
        <f>IF(BX$16=0,0,-BX61/BX$16)</f>
        <v>0</v>
      </c>
      <c s="393" r="BZ61"/>
      <c s="382" r="CA61"/>
      <c s="394" r="CB61" t="n">
        <f>IF(CA$16=0,0,-CA61/CA$16)</f>
        <v>0</v>
      </c>
      <c s="393" r="CC61"/>
      <c s="382" r="CD61"/>
      <c s="394" r="CE61" t="n">
        <f>IF(CD$16=0,0,-CD61/CD$16)</f>
        <v>0</v>
      </c>
      <c s="393" r="CF61"/>
      <c s="382" r="CG61"/>
      <c s="394" r="CH61" t="n">
        <f>IF(CG$16=0,0,-CG61/CG$16)</f>
        <v>0</v>
      </c>
      <c s="393" r="CI61"/>
      <c s="382" r="CJ61"/>
      <c s="394" r="CK61" t="n">
        <f>IF(CJ$16=0,0,-CJ61/CJ$16)</f>
        <v>0</v>
      </c>
      <c s="390" r="CL61"/>
      <c s="393" r="CM61" t="n">
        <f>IF(CM$6=0,0,(BX61*BX$6+CA61*CA$6+CD61*CD$6+CG61*CG$6+CJ61*CJ$6)/CM$6)</f>
        <v>0</v>
      </c>
      <c s="398" r="CN61" t="n">
        <f>IF(CM$16=0,0,-CM61/CM$16)</f>
        <v>0</v>
      </c>
      <c s="398" r="CO61"/>
      <c s="379" r="CP61" t="n">
        <f>IF(CP$6=0,0,(D61*D$6+V61*V$6+AN61*AN$6+BF61*BF$6+BX61*BX$6)/CP$6)</f>
        <v>0</v>
      </c>
      <c s="398" r="CQ61" t="n">
        <f>IF(CP$16=0,0,-CP61/CP$16)</f>
        <v>0</v>
      </c>
      <c s="393" r="CR61"/>
      <c s="379" r="CS61" t="n">
        <f>IF(CS$6=0,0,(G61*G$6+Y61*Y$6+AQ61*AQ$6+BI61*BI$6+CA61*CA$6)/CS$6)</f>
        <v>0</v>
      </c>
      <c s="398" r="CT61" t="n">
        <f>IF(CS$16=0,0,-CS61/CS$16)</f>
        <v>0</v>
      </c>
      <c s="393" r="CU61"/>
      <c s="379" r="CV61" t="n">
        <f>IF(CV$6=0,0,(J61*J$6+AB61*AB$6+AT61*AT$6+BL61*BL$6+CD61*CD$6)/CV$6)</f>
        <v>0</v>
      </c>
      <c s="398" r="CW61" t="n">
        <f>IF(CV$16=0,0,-CV61/CV$16)</f>
        <v>0</v>
      </c>
      <c s="393" r="CX61"/>
      <c s="379" r="CY61" t="n">
        <f>IF(CY$6=0,0,(M61*M$6+AE61*AE$6+AW61*AW$6+BO61*BO$6+CG61*CG$6)/CY$6)</f>
        <v>0</v>
      </c>
      <c s="398" r="CZ61" t="n">
        <f>IF(CY$16=0,0,-CY61/CY$16)</f>
        <v>0</v>
      </c>
      <c s="393" r="DA61"/>
      <c s="379" r="DB61" t="n">
        <f>IF(DB$6=0,0,(P61*P$6+AH61*AH$6+AZ61*AZ$6+BR61*BR$6+CJ61*CJ$6)/DB$6)</f>
        <v>0</v>
      </c>
      <c s="398" r="DC61" t="n">
        <f>IF(DB$16=0,0,-DB61/DB$16)</f>
        <v>0</v>
      </c>
      <c s="393" r="DD61"/>
      <c s="393" r="DE61" t="n">
        <f>IF(DE$6=0,0,(S61*S$6+AK61*AK$6+BC61*BC$6+BU61*BU$6+CM61*CM$6)/DE$6)</f>
        <v>0</v>
      </c>
      <c s="398" r="DF61" t="n">
        <f>IF(DE$16=0,0,-DE61/DE$16)</f>
        <v>0</v>
      </c>
      <c s="401" r="DG61"/>
    </row>
    <row r="62" spans="1:111" ht="25.5" outlineLevel="2">
      <c s="390" r="A62"/>
      <c s="428" r="B62" t="str">
        <v>                  -用户权益（如实物等待礼、交付积分、服务积分等(T5)</v>
      </c>
      <c s="392" r="C62"/>
      <c s="382" r="D62"/>
      <c s="394" r="E62" t="n">
        <f>IF(D$16=0,0,-D62/D$16)</f>
        <v>0</v>
      </c>
      <c s="393" r="F62"/>
      <c s="382" r="G62"/>
      <c s="394" r="H62" t="n">
        <f>IF(G$16=0,0,-G62/G$16)</f>
        <v>0</v>
      </c>
      <c s="393" r="I62"/>
      <c s="382" r="J62"/>
      <c s="394" r="K62" t="n">
        <f>IF(J$16=0,0,-J62/J$16)</f>
        <v>0</v>
      </c>
      <c s="393" r="L62"/>
      <c s="382" r="M62"/>
      <c s="394" r="N62" t="n">
        <f>IF(M$16=0,0,-M62/M$16)</f>
        <v>0</v>
      </c>
      <c s="393" r="O62"/>
      <c s="382" r="P62"/>
      <c s="394" r="Q62" t="n">
        <f>IF(P$16=0,0,-P62/P$16)</f>
        <v>0</v>
      </c>
      <c s="390" r="R62"/>
      <c s="393" r="S62" t="n">
        <f>IF(S$6=0,0,(D62*D$6+G62*G$6+J62*J$6+M62*M$6+P62*P$6)/S$6)</f>
        <v>0</v>
      </c>
      <c s="398" r="T62" t="n">
        <f>IF(S$16=0,0,-S62/S$16)</f>
        <v>0</v>
      </c>
      <c s="398" r="U62"/>
      <c s="382" r="V62"/>
      <c s="394" r="W62" t="n">
        <f>IF(V$16=0,0,-V62/V$16)</f>
        <v>0</v>
      </c>
      <c s="393" r="X62"/>
      <c s="382" r="Y62"/>
      <c s="394" r="Z62" t="n">
        <f>IF(Y$16=0,0,-Y62/Y$16)</f>
        <v>0</v>
      </c>
      <c s="393" r="AA62"/>
      <c s="382" r="AB62"/>
      <c s="394" r="AC62" t="n">
        <f>IF(AB$16=0,0,-AB62/AB$16)</f>
        <v>0</v>
      </c>
      <c s="393" r="AD62"/>
      <c s="382" r="AE62"/>
      <c s="394" r="AF62" t="n">
        <f>IF(AE$16=0,0,-AE62/AE$16)</f>
        <v>0</v>
      </c>
      <c s="393" r="AG62"/>
      <c s="382" r="AH62"/>
      <c s="394" r="AI62" t="n">
        <f>IF(AH$16=0,0,-AH62/AH$16)</f>
        <v>0</v>
      </c>
      <c s="390" r="AJ62"/>
      <c s="393" r="AK62" t="n">
        <f>IF(AK$6=0,0,(V62*V$6+Y62*Y$6+AB62*AB$6+AE62*AE$6+AH62*AH$6)/AK$6)</f>
        <v>0</v>
      </c>
      <c s="398" r="AL62" t="n">
        <f>IF(AK$16=0,0,-AK62/AK$16)</f>
        <v>0</v>
      </c>
      <c s="398" r="AM62"/>
      <c s="382" r="AN62"/>
      <c s="394" r="AO62" t="n">
        <f>IF(AN$16=0,0,-AN62/AN$16)</f>
        <v>0</v>
      </c>
      <c s="393" r="AP62"/>
      <c s="382" r="AQ62"/>
      <c s="394" r="AR62" t="n">
        <f>IF(AQ$16=0,0,-AQ62/AQ$16)</f>
        <v>0</v>
      </c>
      <c s="393" r="AS62"/>
      <c s="382" r="AT62"/>
      <c s="394" r="AU62" t="n">
        <f>IF(AT$16=0,0,-AT62/AT$16)</f>
        <v>0</v>
      </c>
      <c s="393" r="AV62"/>
      <c s="382" r="AW62"/>
      <c s="394" r="AX62" t="n">
        <f>IF(AW$16=0,0,-AW62/AW$16)</f>
        <v>0</v>
      </c>
      <c s="393" r="AY62"/>
      <c s="382" r="AZ62"/>
      <c s="394" r="BA62" t="n">
        <f>IF(AZ$16=0,0,-AZ62/AZ$16)</f>
        <v>0</v>
      </c>
      <c s="390" r="BB62"/>
      <c s="393" r="BC62" t="n">
        <f>IF(BC$6=0,0,(AN62*AN$6+AQ62*AQ$6+AT62*AT$6+AW62*AW$6+AZ62*AZ$6)/BC$6)</f>
        <v>0</v>
      </c>
      <c s="398" r="BD62" t="n">
        <f>IF(BC$16=0,0,-BC62/BC$16)</f>
        <v>0</v>
      </c>
      <c s="398" r="BE62"/>
      <c s="382" r="BF62"/>
      <c s="394" r="BG62" t="n">
        <f>IF(BF$16=0,0,-BF62/BF$16)</f>
        <v>0</v>
      </c>
      <c s="393" r="BH62"/>
      <c s="382" r="BI62"/>
      <c s="394" r="BJ62" t="n">
        <f>IF(BI$16=0,0,-BI62/BI$16)</f>
        <v>0</v>
      </c>
      <c s="393" r="BK62"/>
      <c s="382" r="BL62"/>
      <c s="394" r="BM62" t="n">
        <f>IF(BL$16=0,0,-BL62/BL$16)</f>
        <v>0</v>
      </c>
      <c s="393" r="BN62"/>
      <c s="382" r="BO62"/>
      <c s="394" r="BP62" t="n">
        <f>IF(BO$16=0,0,-BO62/BO$16)</f>
        <v>0</v>
      </c>
      <c s="393" r="BQ62"/>
      <c s="382" r="BR62"/>
      <c s="394" r="BS62" t="n">
        <f>IF(BR$16=0,0,-BR62/BR$16)</f>
        <v>0</v>
      </c>
      <c s="390" r="BT62"/>
      <c s="393" r="BU62" t="n">
        <f>IF(BU$6=0,0,(BF62*BF$6+BI62*BI$6+BL62*BL$6+BO62*BO$6+BR62*BR$6)/BU$6)</f>
        <v>0</v>
      </c>
      <c s="398" r="BV62" t="n">
        <f>IF(BU$16=0,0,-BU62/BU$16)</f>
        <v>0</v>
      </c>
      <c s="398" r="BW62"/>
      <c s="382" r="BX62"/>
      <c s="394" r="BY62" t="n">
        <f>IF(BX$16=0,0,-BX62/BX$16)</f>
        <v>0</v>
      </c>
      <c s="393" r="BZ62"/>
      <c s="382" r="CA62"/>
      <c s="394" r="CB62" t="n">
        <f>IF(CA$16=0,0,-CA62/CA$16)</f>
        <v>0</v>
      </c>
      <c s="393" r="CC62"/>
      <c s="382" r="CD62"/>
      <c s="394" r="CE62" t="n">
        <f>IF(CD$16=0,0,-CD62/CD$16)</f>
        <v>0</v>
      </c>
      <c s="393" r="CF62"/>
      <c s="382" r="CG62"/>
      <c s="394" r="CH62" t="n">
        <f>IF(CG$16=0,0,-CG62/CG$16)</f>
        <v>0</v>
      </c>
      <c s="393" r="CI62"/>
      <c s="382" r="CJ62"/>
      <c s="394" r="CK62" t="n">
        <f>IF(CJ$16=0,0,-CJ62/CJ$16)</f>
        <v>0</v>
      </c>
      <c s="390" r="CL62"/>
      <c s="393" r="CM62" t="n">
        <f>IF(CM$6=0,0,(BX62*BX$6+CA62*CA$6+CD62*CD$6+CG62*CG$6+CJ62*CJ$6)/CM$6)</f>
        <v>0</v>
      </c>
      <c s="398" r="CN62" t="n">
        <f>IF(CM$16=0,0,-CM62/CM$16)</f>
        <v>0</v>
      </c>
      <c s="398" r="CO62"/>
      <c s="379" r="CP62" t="n">
        <f>IF(CP$6=0,0,(D62*D$6+V62*V$6+AN62*AN$6+BF62*BF$6+BX62*BX$6)/CP$6)</f>
        <v>0</v>
      </c>
      <c s="398" r="CQ62" t="n">
        <f>IF(CP$16=0,0,-CP62/CP$16)</f>
        <v>0</v>
      </c>
      <c s="395" r="CR62"/>
      <c s="379" r="CS62" t="n">
        <f>IF(CS$6=0,0,(G62*G$6+Y62*Y$6+AQ62*AQ$6+BI62*BI$6+CA62*CA$6)/CS$6)</f>
        <v>0</v>
      </c>
      <c s="398" r="CT62" t="n">
        <f>IF(CS$16=0,0,-CS62/CS$16)</f>
        <v>0</v>
      </c>
      <c s="395" r="CU62"/>
      <c s="379" r="CV62" t="n">
        <f>IF(CV$6=0,0,(J62*J$6+AB62*AB$6+AT62*AT$6+BL62*BL$6+CD62*CD$6)/CV$6)</f>
        <v>0</v>
      </c>
      <c s="398" r="CW62" t="n">
        <f>IF(CV$16=0,0,-CV62/CV$16)</f>
        <v>0</v>
      </c>
      <c s="395" r="CX62"/>
      <c s="379" r="CY62" t="n">
        <f>IF(CY$6=0,0,(M62*M$6+AE62*AE$6+AW62*AW$6+BO62*BO$6+CG62*CG$6)/CY$6)</f>
        <v>0</v>
      </c>
      <c s="398" r="CZ62" t="n">
        <f>IF(CY$16=0,0,-CY62/CY$16)</f>
        <v>0</v>
      </c>
      <c s="395" r="DA62"/>
      <c s="379" r="DB62" t="n">
        <f>IF(DB$6=0,0,(P62*P$6+AH62*AH$6+AZ62*AZ$6+BR62*BR$6+CJ62*CJ$6)/DB$6)</f>
        <v>0</v>
      </c>
      <c s="398" r="DC62" t="n">
        <f>IF(DB$16=0,0,-DB62/DB$16)</f>
        <v>0</v>
      </c>
      <c s="395" r="DD62"/>
      <c s="395" r="DE62" t="n">
        <f>IF(DE$6=0,0,(S62*S$6+AK62*AK$6+BC62*BC$6+BU62*BU$6+CM62*CM$6)/DE$6)</f>
        <v>0</v>
      </c>
      <c s="398" r="DF62" t="n">
        <f>IF(DE$16=0,0,-DE62/DE$16)</f>
        <v>0</v>
      </c>
      <c s="401" r="DG62"/>
    </row>
    <row r="63" spans="1:111" ht="16.05" customHeight="1" outlineLevel="2">
      <c s="390" r="A63"/>
      <c s="353" r="B63" t="str">
        <v>                  -其他</v>
      </c>
      <c s="392" r="C63"/>
      <c s="382" r="D63"/>
      <c s="394" r="E63" t="n">
        <f>IF(D$16=0,0,-D63/D$16)</f>
        <v>0</v>
      </c>
      <c s="393" r="F63"/>
      <c s="382" r="G63"/>
      <c s="394" r="H63" t="n">
        <f>IF(G$16=0,0,-G63/G$16)</f>
        <v>0</v>
      </c>
      <c s="393" r="I63"/>
      <c s="382" r="J63"/>
      <c s="394" r="K63" t="n">
        <f>IF(J$16=0,0,-J63/J$16)</f>
        <v>0</v>
      </c>
      <c s="393" r="L63"/>
      <c s="382" r="M63"/>
      <c s="394" r="N63" t="n">
        <f>IF(M$16=0,0,-M63/M$16)</f>
        <v>0</v>
      </c>
      <c s="393" r="O63"/>
      <c s="382" r="P63"/>
      <c s="394" r="Q63" t="n">
        <f>IF(P$16=0,0,-P63/P$16)</f>
        <v>0</v>
      </c>
      <c s="390" r="R63"/>
      <c s="393" r="S63" t="n">
        <f>IF(S$6=0,0,(D63*D$6+G63*G$6+J63*J$6+M63*M$6+P63*P$6)/S$6)</f>
        <v>0</v>
      </c>
      <c s="398" r="T63" t="n">
        <f>IF(S$16=0,0,-S63/S$16)</f>
        <v>0</v>
      </c>
      <c s="398" r="U63"/>
      <c s="382" r="V63"/>
      <c s="394" r="W63" t="n">
        <f>IF(V$16=0,0,-V63/V$16)</f>
        <v>0</v>
      </c>
      <c s="393" r="X63"/>
      <c s="382" r="Y63"/>
      <c s="394" r="Z63" t="n">
        <f>IF(Y$16=0,0,-Y63/Y$16)</f>
        <v>0</v>
      </c>
      <c s="393" r="AA63"/>
      <c s="382" r="AB63"/>
      <c s="394" r="AC63" t="n">
        <f>IF(AB$16=0,0,-AB63/AB$16)</f>
        <v>0</v>
      </c>
      <c s="393" r="AD63"/>
      <c s="382" r="AE63"/>
      <c s="394" r="AF63" t="n">
        <f>IF(AE$16=0,0,-AE63/AE$16)</f>
        <v>0</v>
      </c>
      <c s="393" r="AG63"/>
      <c s="382" r="AH63"/>
      <c s="394" r="AI63" t="n">
        <f>IF(AH$16=0,0,-AH63/AH$16)</f>
        <v>0</v>
      </c>
      <c s="390" r="AJ63"/>
      <c s="393" r="AK63" t="n">
        <f>IF(AK$6=0,0,(V63*V$6+Y63*Y$6+AB63*AB$6+AE63*AE$6+AH63*AH$6)/AK$6)</f>
        <v>0</v>
      </c>
      <c s="398" r="AL63" t="n">
        <f>IF(AK$16=0,0,-AK63/AK$16)</f>
        <v>0</v>
      </c>
      <c s="398" r="AM63"/>
      <c s="382" r="AN63"/>
      <c s="394" r="AO63" t="n">
        <f>IF(AN$16=0,0,-AN63/AN$16)</f>
        <v>0</v>
      </c>
      <c s="393" r="AP63"/>
      <c s="382" r="AQ63"/>
      <c s="394" r="AR63" t="n">
        <f>IF(AQ$16=0,0,-AQ63/AQ$16)</f>
        <v>0</v>
      </c>
      <c s="393" r="AS63"/>
      <c s="382" r="AT63"/>
      <c s="394" r="AU63" t="n">
        <f>IF(AT$16=0,0,-AT63/AT$16)</f>
        <v>0</v>
      </c>
      <c s="393" r="AV63"/>
      <c s="382" r="AW63"/>
      <c s="394" r="AX63" t="n">
        <f>IF(AW$16=0,0,-AW63/AW$16)</f>
        <v>0</v>
      </c>
      <c s="393" r="AY63"/>
      <c s="382" r="AZ63"/>
      <c s="394" r="BA63" t="n">
        <f>IF(AZ$16=0,0,-AZ63/AZ$16)</f>
        <v>0</v>
      </c>
      <c s="390" r="BB63"/>
      <c s="393" r="BC63" t="n">
        <f>IF(BC$6=0,0,(AN63*AN$6+AQ63*AQ$6+AT63*AT$6+AW63*AW$6+AZ63*AZ$6)/BC$6)</f>
        <v>0</v>
      </c>
      <c s="398" r="BD63" t="n">
        <f>IF(BC$16=0,0,-BC63/BC$16)</f>
        <v>0</v>
      </c>
      <c s="398" r="BE63"/>
      <c s="382" r="BF63"/>
      <c s="394" r="BG63" t="n">
        <f>IF(BF$16=0,0,-BF63/BF$16)</f>
        <v>0</v>
      </c>
      <c s="393" r="BH63"/>
      <c s="382" r="BI63"/>
      <c s="394" r="BJ63" t="n">
        <f>IF(BI$16=0,0,-BI63/BI$16)</f>
        <v>0</v>
      </c>
      <c s="393" r="BK63"/>
      <c s="382" r="BL63"/>
      <c s="394" r="BM63" t="n">
        <f>IF(BL$16=0,0,-BL63/BL$16)</f>
        <v>0</v>
      </c>
      <c s="393" r="BN63"/>
      <c s="382" r="BO63"/>
      <c s="394" r="BP63" t="n">
        <f>IF(BO$16=0,0,-BO63/BO$16)</f>
        <v>0</v>
      </c>
      <c s="393" r="BQ63"/>
      <c s="382" r="BR63"/>
      <c s="394" r="BS63" t="n">
        <f>IF(BR$16=0,0,-BR63/BR$16)</f>
        <v>0</v>
      </c>
      <c s="390" r="BT63"/>
      <c s="393" r="BU63" t="n">
        <f>IF(BU$6=0,0,(BF63*BF$6+BI63*BI$6+BL63*BL$6+BO63*BO$6+BR63*BR$6)/BU$6)</f>
        <v>0</v>
      </c>
      <c s="398" r="BV63" t="n">
        <f>IF(BU$16=0,0,-BU63/BU$16)</f>
        <v>0</v>
      </c>
      <c s="398" r="BW63"/>
      <c s="382" r="BX63"/>
      <c s="394" r="BY63" t="n">
        <f>IF(BX$16=0,0,-BX63/BX$16)</f>
        <v>0</v>
      </c>
      <c s="393" r="BZ63"/>
      <c s="382" r="CA63"/>
      <c s="394" r="CB63" t="n">
        <f>IF(CA$16=0,0,-CA63/CA$16)</f>
        <v>0</v>
      </c>
      <c s="393" r="CC63"/>
      <c s="382" r="CD63"/>
      <c s="394" r="CE63" t="n">
        <f>IF(CD$16=0,0,-CD63/CD$16)</f>
        <v>0</v>
      </c>
      <c s="393" r="CF63"/>
      <c s="382" r="CG63"/>
      <c s="394" r="CH63" t="n">
        <f>IF(CG$16=0,0,-CG63/CG$16)</f>
        <v>0</v>
      </c>
      <c s="393" r="CI63"/>
      <c s="382" r="CJ63"/>
      <c s="394" r="CK63" t="n">
        <f>IF(CJ$16=0,0,-CJ63/CJ$16)</f>
        <v>0</v>
      </c>
      <c s="390" r="CL63"/>
      <c s="393" r="CM63" t="n">
        <f>IF(CM$6=0,0,(BX63*BX$6+CA63*CA$6+CD63*CD$6+CG63*CG$6+CJ63*CJ$6)/CM$6)</f>
        <v>0</v>
      </c>
      <c s="398" r="CN63" t="n">
        <f>IF(CM$16=0,0,-CM63/CM$16)</f>
        <v>0</v>
      </c>
      <c s="398" r="CO63"/>
      <c s="379" r="CP63" t="n">
        <f>IF(CP$6=0,0,(D63*D$6+V63*V$6+AN63*AN$6+BF63*BF$6+BX63*BX$6)/CP$6)</f>
        <v>0</v>
      </c>
      <c s="398" r="CQ63" t="n">
        <f>IF(CP$16=0,0,-CP63/CP$16)</f>
        <v>0</v>
      </c>
      <c s="395" r="CR63"/>
      <c s="379" r="CS63" t="n">
        <f>IF(CS$6=0,0,(G63*G$6+Y63*Y$6+AQ63*AQ$6+BI63*BI$6+CA63*CA$6)/CS$6)</f>
        <v>0</v>
      </c>
      <c s="398" r="CT63" t="n">
        <f>IF(CS$16=0,0,-CS63/CS$16)</f>
        <v>0</v>
      </c>
      <c s="395" r="CU63"/>
      <c s="379" r="CV63" t="n">
        <f>IF(CV$6=0,0,(J63*J$6+AB63*AB$6+AT63*AT$6+BL63*BL$6+CD63*CD$6)/CV$6)</f>
        <v>0</v>
      </c>
      <c s="398" r="CW63" t="n">
        <f>IF(CV$16=0,0,-CV63/CV$16)</f>
        <v>0</v>
      </c>
      <c s="395" r="CX63"/>
      <c s="379" r="CY63" t="n">
        <f>IF(CY$6=0,0,(M63*M$6+AE63*AE$6+AW63*AW$6+BO63*BO$6+CG63*CG$6)/CY$6)</f>
        <v>0</v>
      </c>
      <c s="398" r="CZ63" t="n">
        <f>IF(CY$16=0,0,-CY63/CY$16)</f>
        <v>0</v>
      </c>
      <c s="395" r="DA63"/>
      <c s="379" r="DB63" t="n">
        <f>IF(DB$6=0,0,(P63*P$6+AH63*AH$6+AZ63*AZ$6+BR63*BR$6+CJ63*CJ$6)/DB$6)</f>
        <v>0</v>
      </c>
      <c s="398" r="DC63" t="n">
        <f>IF(DB$16=0,0,-DB63/DB$16)</f>
        <v>0</v>
      </c>
      <c s="395" r="DD63"/>
      <c s="395" r="DE63" t="n">
        <f>IF(DE$6=0,0,(S63*S$6+AK63*AK$6+BC63*BC$6+BU63*BU$6+CM63*CM$6)/DE$6)</f>
        <v>0</v>
      </c>
      <c s="398" r="DF63" t="n">
        <f>IF(DE$16=0,0,-DE63/DE$16)</f>
        <v>0</v>
      </c>
      <c s="401" r="DG63"/>
    </row>
    <row r="64" spans="1:111" outlineLevel="1">
      <c s="421" r="A64"/>
      <c s="422" r="B64" t="str">
        <v>          固定销交服费用</v>
      </c>
      <c s="423" r="C64"/>
      <c s="424" r="D64" t="n">
        <f>SUM(D65:D66)</f>
        <v>0</v>
      </c>
      <c s="429" r="E64" t="n">
        <f>IF(D$16=0,0,-D64/D$16)</f>
        <v>0</v>
      </c>
      <c s="424" r="F64"/>
      <c s="424" r="G64" t="n">
        <f>SUM(G65:G66)</f>
        <v>0</v>
      </c>
      <c s="429" r="H64" t="n">
        <f>IF(G$16=0,0,-G64/G$16)</f>
        <v>0</v>
      </c>
      <c s="424" r="I64"/>
      <c s="424" r="J64" t="n">
        <f>SUM(J65:J66)</f>
        <v>0</v>
      </c>
      <c s="429" r="K64" t="n">
        <f>IF(J$16=0,0,-J64/J$16)</f>
        <v>0</v>
      </c>
      <c s="424" r="L64"/>
      <c s="424" r="M64" t="n">
        <f>SUM(M65:M66)</f>
        <v>0</v>
      </c>
      <c s="429" r="N64" t="n">
        <f>IF(M$16=0,0,-M64/M$16)</f>
        <v>0</v>
      </c>
      <c s="424" r="O64"/>
      <c s="424" r="P64" t="n">
        <f>SUM(P65:P66)</f>
        <v>0</v>
      </c>
      <c s="429" r="Q64" t="n">
        <f>IF(P$16=0,0,-P64/P$16)</f>
        <v>0</v>
      </c>
      <c s="426" r="R64"/>
      <c s="424" r="S64" t="n">
        <f>IF(S$6=0,0,(D64*D$6+G64*G$6+J64*J$6+M64*M$6+P64*P$6)/S$6)</f>
        <v>0</v>
      </c>
      <c s="425" r="T64" t="n">
        <f>IF(S$16=0,0,-S64/S$16)</f>
        <v>0</v>
      </c>
      <c s="425" r="U64"/>
      <c s="424" r="V64" t="n">
        <f>SUM(V65:V66)</f>
        <v>0</v>
      </c>
      <c s="429" r="W64" t="n">
        <f>IF(V$16=0,0,-V64/V$16)</f>
        <v>0</v>
      </c>
      <c s="424" r="X64"/>
      <c s="424" r="Y64" t="n">
        <f>SUM(Y65:Y66)</f>
        <v>0</v>
      </c>
      <c s="429" r="Z64" t="n">
        <f>IF(Y$16=0,0,-Y64/Y$16)</f>
        <v>0</v>
      </c>
      <c s="424" r="AA64"/>
      <c s="424" r="AB64" t="n">
        <f>SUM(AB65:AB66)</f>
        <v>0</v>
      </c>
      <c s="429" r="AC64" t="n">
        <f>IF(AB$16=0,0,-AB64/AB$16)</f>
        <v>0</v>
      </c>
      <c s="424" r="AD64"/>
      <c s="424" r="AE64" t="n">
        <f>SUM(AE65:AE66)</f>
        <v>0</v>
      </c>
      <c s="429" r="AF64" t="n">
        <f>IF(AE$16=0,0,-AE64/AE$16)</f>
        <v>0</v>
      </c>
      <c s="424" r="AG64"/>
      <c s="424" r="AH64" t="n">
        <f>SUM(AH65:AH66)</f>
        <v>0</v>
      </c>
      <c s="429" r="AI64" t="n">
        <f>IF(AH$16=0,0,-AH64/AH$16)</f>
        <v>0</v>
      </c>
      <c s="426" r="AJ64"/>
      <c s="424" r="AK64" t="n">
        <f>IF(AK$6=0,0,(V64*V$6+Y64*Y$6+AB64*AB$6+AE64*AE$6+AH64*AH$6)/AK$6)</f>
        <v>0</v>
      </c>
      <c s="425" r="AL64" t="n">
        <f>IF(AK$16=0,0,-AK64/AK$16)</f>
        <v>0</v>
      </c>
      <c s="425" r="AM64"/>
      <c s="424" r="AN64" t="n">
        <f>SUM(AN65:AN66)</f>
        <v>0</v>
      </c>
      <c s="429" r="AO64" t="n">
        <f>IF(AN$16=0,0,-AN64/AN$16)</f>
        <v>0</v>
      </c>
      <c s="424" r="AP64"/>
      <c s="424" r="AQ64" t="n">
        <f>SUM(AQ65:AQ66)</f>
        <v>0</v>
      </c>
      <c s="429" r="AR64" t="n">
        <f>IF(AQ$16=0,0,-AQ64/AQ$16)</f>
        <v>0</v>
      </c>
      <c s="424" r="AS64"/>
      <c s="424" r="AT64" t="n">
        <f>SUM(AT65:AT66)</f>
        <v>0</v>
      </c>
      <c s="429" r="AU64" t="n">
        <f>IF(AT$16=0,0,-AT64/AT$16)</f>
        <v>0</v>
      </c>
      <c s="424" r="AV64"/>
      <c s="424" r="AW64" t="n">
        <f>SUM(AW65:AW66)</f>
        <v>0</v>
      </c>
      <c s="429" r="AX64" t="n">
        <f>IF(AW$16=0,0,-AW64/AW$16)</f>
        <v>0</v>
      </c>
      <c s="424" r="AY64"/>
      <c s="424" r="AZ64" t="n">
        <f>SUM(AZ65:AZ66)</f>
        <v>0</v>
      </c>
      <c s="429" r="BA64" t="n">
        <f>IF(AZ$16=0,0,-AZ64/AZ$16)</f>
        <v>0</v>
      </c>
      <c s="426" r="BB64"/>
      <c s="424" r="BC64" t="n">
        <f>IF(BC$6=0,0,(AN64*AN$6+AQ64*AQ$6+AT64*AT$6+AW64*AW$6+AZ64*AZ$6)/BC$6)</f>
        <v>0</v>
      </c>
      <c s="425" r="BD64" t="n">
        <f>IF(BC$16=0,0,-BC64/BC$16)</f>
        <v>0</v>
      </c>
      <c s="425" r="BE64"/>
      <c s="424" r="BF64" t="n">
        <f>SUM(BF65:BF66)</f>
        <v>0</v>
      </c>
      <c s="429" r="BG64" t="n">
        <f>IF(BF$16=0,0,-BF64/BF$16)</f>
        <v>0</v>
      </c>
      <c s="424" r="BH64"/>
      <c s="424" r="BI64" t="n">
        <f>SUM(BI65:BI66)</f>
        <v>0</v>
      </c>
      <c s="429" r="BJ64" t="n">
        <f>IF(BI$16=0,0,-BI64/BI$16)</f>
        <v>0</v>
      </c>
      <c s="424" r="BK64"/>
      <c s="424" r="BL64" t="n">
        <f>SUM(BL65:BL66)</f>
        <v>0</v>
      </c>
      <c s="429" r="BM64" t="n">
        <f>IF(BL$16=0,0,-BL64/BL$16)</f>
        <v>0</v>
      </c>
      <c s="424" r="BN64"/>
      <c s="424" r="BO64" t="n">
        <f>SUM(BO65:BO66)</f>
        <v>0</v>
      </c>
      <c s="429" r="BP64" t="n">
        <f>IF(BO$16=0,0,-BO64/BO$16)</f>
        <v>0</v>
      </c>
      <c s="424" r="BQ64"/>
      <c s="424" r="BR64" t="n">
        <f>SUM(BR65:BR66)</f>
        <v>0</v>
      </c>
      <c s="429" r="BS64" t="n">
        <f>IF(BR$16=0,0,-BR64/BR$16)</f>
        <v>0</v>
      </c>
      <c s="426" r="BT64"/>
      <c s="424" r="BU64" t="n">
        <f>IF(BU$6=0,0,(BF64*BF$6+BI64*BI$6+BL64*BL$6+BO64*BO$6+BR64*BR$6)/BU$6)</f>
        <v>0</v>
      </c>
      <c s="425" r="BV64" t="n">
        <f>IF(BU$16=0,0,-BU64/BU$16)</f>
        <v>0</v>
      </c>
      <c s="425" r="BW64"/>
      <c s="424" r="BX64" t="n">
        <f>SUM(BX65:BX66)</f>
        <v>0</v>
      </c>
      <c s="429" r="BY64" t="n">
        <f>IF(BX$16=0,0,-BX64/BX$16)</f>
        <v>0</v>
      </c>
      <c s="424" r="BZ64"/>
      <c s="424" r="CA64" t="n">
        <f>SUM(CA65:CA66)</f>
        <v>0</v>
      </c>
      <c s="429" r="CB64" t="n">
        <f>IF(CA$16=0,0,-CA64/CA$16)</f>
        <v>0</v>
      </c>
      <c s="424" r="CC64"/>
      <c s="424" r="CD64" t="n">
        <f>SUM(CD65:CD66)</f>
        <v>0</v>
      </c>
      <c s="429" r="CE64" t="n">
        <f>IF(CD$16=0,0,-CD64/CD$16)</f>
        <v>0</v>
      </c>
      <c s="424" r="CF64"/>
      <c s="424" r="CG64" t="n">
        <f>SUM(CG65:CG66)</f>
        <v>0</v>
      </c>
      <c s="429" r="CH64" t="n">
        <f>IF(CG$16=0,0,-CG64/CG$16)</f>
        <v>0</v>
      </c>
      <c s="424" r="CI64"/>
      <c s="424" r="CJ64" t="n">
        <f>SUM(CJ65:CJ66)</f>
        <v>0</v>
      </c>
      <c s="429" r="CK64" t="n">
        <f>IF(CJ$16=0,0,-CJ64/CJ$16)</f>
        <v>0</v>
      </c>
      <c s="426" r="CL64"/>
      <c s="424" r="CM64" t="n">
        <f>IF(CM$6=0,0,(BX64*BX$6+CA64*CA$6+CD64*CD$6+CG64*CG$6+CJ64*CJ$6)/CM$6)</f>
        <v>0</v>
      </c>
      <c s="425" r="CN64" t="n">
        <f>IF(CM$16=0,0,-CM64/CM$16)</f>
        <v>0</v>
      </c>
      <c s="425" r="CO64"/>
      <c s="424" r="CP64" t="n">
        <f>IF(CP$6=0,0,(D64*D$6+V64*V$6+AN64*AN$6+BF64*BF$6+BX64*BX$6)/CP$6)</f>
        <v>0</v>
      </c>
      <c s="425" r="CQ64" t="n">
        <f>IF(CP$16=0,0,-CP64/CP$16)</f>
        <v>0</v>
      </c>
      <c s="430" r="CR64"/>
      <c s="424" r="CS64" t="n">
        <f>IF(CS$6=0,0,(G64*G$6+Y64*Y$6+AQ64*AQ$6+BI64*BI$6+CA64*CA$6)/CS$6)</f>
        <v>0</v>
      </c>
      <c s="425" r="CT64" t="n">
        <f>IF(CS$16=0,0,-CS64/CS$16)</f>
        <v>0</v>
      </c>
      <c s="430" r="CU64"/>
      <c s="424" r="CV64" t="n">
        <f>IF(CV$6=0,0,(J64*J$6+AB64*AB$6+AT64*AT$6+BL64*BL$6+CD64*CD$6)/CV$6)</f>
        <v>0</v>
      </c>
      <c s="425" r="CW64" t="n">
        <f>IF(CV$16=0,0,-CV64/CV$16)</f>
        <v>0</v>
      </c>
      <c s="430" r="CX64"/>
      <c s="424" r="CY64" t="n">
        <f>IF(CY$6=0,0,(M64*M$6+AE64*AE$6+AW64*AW$6+BO64*BO$6+CG64*CG$6)/CY$6)</f>
        <v>0</v>
      </c>
      <c s="425" r="CZ64" t="n">
        <f>IF(CY$16=0,0,-CY64/CY$16)</f>
        <v>0</v>
      </c>
      <c s="430" r="DA64"/>
      <c s="424" r="DB64" t="n">
        <f>IF(DB$6=0,0,(P64*P$6+AH64*AH$6+AZ64*AZ$6+BR64*BR$6+CJ64*CJ$6)/DB$6)</f>
        <v>0</v>
      </c>
      <c s="425" r="DC64" t="n">
        <f>IF(DB$16=0,0,-DB64/DB$16)</f>
        <v>0</v>
      </c>
      <c s="430" r="DD64"/>
      <c s="430" r="DE64" t="n">
        <f>IF(DE$6=0,0,(S64*S$6+AK64*AK$6+BC64*BC$6+BU64*BU$6+CM64*CM$6)/DE$6)</f>
        <v>0</v>
      </c>
      <c s="425" r="DF64" t="n">
        <f>IF(DE$16=0,0,-DE64/DE$16)</f>
        <v>0</v>
      </c>
      <c s="427" r="DG64"/>
    </row>
    <row r="65" spans="1:111" ht="16.05" customHeight="1" outlineLevel="2">
      <c s="390" r="A65"/>
      <c s="353" r="B65" t="str">
        <v>                 -折旧摊销</v>
      </c>
      <c s="392" r="C65"/>
      <c s="382" r="D65"/>
      <c s="394" r="E65" t="n">
        <f>IF(D$16=0,0,-D65/D$16)</f>
        <v>0</v>
      </c>
      <c s="393" r="F65"/>
      <c s="382" r="G65"/>
      <c s="394" r="H65" t="n">
        <f>IF(G$16=0,0,-G65/G$16)</f>
        <v>0</v>
      </c>
      <c s="393" r="I65"/>
      <c s="382" r="J65"/>
      <c s="394" r="K65" t="n">
        <f>IF(J$16=0,0,-J65/J$16)</f>
        <v>0</v>
      </c>
      <c s="393" r="L65"/>
      <c s="382" r="M65"/>
      <c s="394" r="N65" t="n">
        <f>IF(M$16=0,0,-M65/M$16)</f>
        <v>0</v>
      </c>
      <c s="393" r="O65"/>
      <c s="382" r="P65"/>
      <c s="394" r="Q65" t="n">
        <f>IF(P$16=0,0,-P65/P$16)</f>
        <v>0</v>
      </c>
      <c s="390" r="R65"/>
      <c s="393" r="S65" t="n">
        <f>IF(S$6=0,0,(D65*D$6+G65*G$6+J65*J$6+M65*M$6+P65*P$6)/S$6)</f>
        <v>0</v>
      </c>
      <c s="398" r="T65" t="n">
        <f>IF(S$16=0,0,-S65/S$16)</f>
        <v>0</v>
      </c>
      <c s="398" r="U65"/>
      <c s="382" r="V65"/>
      <c s="394" r="W65" t="n">
        <f>IF(V$16=0,0,-V65/V$16)</f>
        <v>0</v>
      </c>
      <c s="393" r="X65"/>
      <c s="382" r="Y65"/>
      <c s="394" r="Z65" t="n">
        <f>IF(Y$16=0,0,-Y65/Y$16)</f>
        <v>0</v>
      </c>
      <c s="393" r="AA65"/>
      <c s="382" r="AB65"/>
      <c s="394" r="AC65" t="n">
        <f>IF(AB$16=0,0,-AB65/AB$16)</f>
        <v>0</v>
      </c>
      <c s="393" r="AD65"/>
      <c s="382" r="AE65"/>
      <c s="394" r="AF65" t="n">
        <f>IF(AE$16=0,0,-AE65/AE$16)</f>
        <v>0</v>
      </c>
      <c s="393" r="AG65"/>
      <c s="382" r="AH65"/>
      <c s="394" r="AI65" t="n">
        <f>IF(AH$16=0,0,-AH65/AH$16)</f>
        <v>0</v>
      </c>
      <c s="390" r="AJ65"/>
      <c s="393" r="AK65" t="n">
        <f>IF(AK$6=0,0,(V65*V$6+Y65*Y$6+AB65*AB$6+AE65*AE$6+AH65*AH$6)/AK$6)</f>
        <v>0</v>
      </c>
      <c s="398" r="AL65" t="n">
        <f>IF(AK$16=0,0,-AK65/AK$16)</f>
        <v>0</v>
      </c>
      <c s="398" r="AM65"/>
      <c s="382" r="AN65"/>
      <c s="394" r="AO65" t="n">
        <f>IF(AN$16=0,0,-AN65/AN$16)</f>
        <v>0</v>
      </c>
      <c s="393" r="AP65"/>
      <c s="382" r="AQ65"/>
      <c s="394" r="AR65" t="n">
        <f>IF(AQ$16=0,0,-AQ65/AQ$16)</f>
        <v>0</v>
      </c>
      <c s="393" r="AS65"/>
      <c s="382" r="AT65"/>
      <c s="394" r="AU65" t="n">
        <f>IF(AT$16=0,0,-AT65/AT$16)</f>
        <v>0</v>
      </c>
      <c s="393" r="AV65"/>
      <c s="382" r="AW65"/>
      <c s="394" r="AX65" t="n">
        <f>IF(AW$16=0,0,-AW65/AW$16)</f>
        <v>0</v>
      </c>
      <c s="393" r="AY65"/>
      <c s="382" r="AZ65"/>
      <c s="394" r="BA65" t="n">
        <f>IF(AZ$16=0,0,-AZ65/AZ$16)</f>
        <v>0</v>
      </c>
      <c s="390" r="BB65"/>
      <c s="393" r="BC65" t="n">
        <f>IF(BC$6=0,0,(AN65*AN$6+AQ65*AQ$6+AT65*AT$6+AW65*AW$6+AZ65*AZ$6)/BC$6)</f>
        <v>0</v>
      </c>
      <c s="398" r="BD65" t="n">
        <f>IF(BC$16=0,0,-BC65/BC$16)</f>
        <v>0</v>
      </c>
      <c s="398" r="BE65"/>
      <c s="382" r="BF65"/>
      <c s="394" r="BG65" t="n">
        <f>IF(BF$16=0,0,-BF65/BF$16)</f>
        <v>0</v>
      </c>
      <c s="393" r="BH65"/>
      <c s="382" r="BI65"/>
      <c s="394" r="BJ65" t="n">
        <f>IF(BI$16=0,0,-BI65/BI$16)</f>
        <v>0</v>
      </c>
      <c s="393" r="BK65"/>
      <c s="382" r="BL65"/>
      <c s="394" r="BM65" t="n">
        <f>IF(BL$16=0,0,-BL65/BL$16)</f>
        <v>0</v>
      </c>
      <c s="393" r="BN65"/>
      <c s="382" r="BO65"/>
      <c s="394" r="BP65" t="n">
        <f>IF(BO$16=0,0,-BO65/BO$16)</f>
        <v>0</v>
      </c>
      <c s="393" r="BQ65"/>
      <c s="382" r="BR65"/>
      <c s="394" r="BS65" t="n">
        <f>IF(BR$16=0,0,-BR65/BR$16)</f>
        <v>0</v>
      </c>
      <c s="390" r="BT65"/>
      <c s="393" r="BU65" t="n">
        <f>IF(BU$6=0,0,(BF65*BF$6+BI65*BI$6+BL65*BL$6+BO65*BO$6+BR65*BR$6)/BU$6)</f>
        <v>0</v>
      </c>
      <c s="398" r="BV65" t="n">
        <f>IF(BU$16=0,0,-BU65/BU$16)</f>
        <v>0</v>
      </c>
      <c s="398" r="BW65"/>
      <c s="382" r="BX65"/>
      <c s="394" r="BY65" t="n">
        <f>IF(BX$16=0,0,-BX65/BX$16)</f>
        <v>0</v>
      </c>
      <c s="393" r="BZ65"/>
      <c s="382" r="CA65"/>
      <c s="394" r="CB65" t="n">
        <f>IF(CA$16=0,0,-CA65/CA$16)</f>
        <v>0</v>
      </c>
      <c s="393" r="CC65"/>
      <c s="382" r="CD65"/>
      <c s="394" r="CE65" t="n">
        <f>IF(CD$16=0,0,-CD65/CD$16)</f>
        <v>0</v>
      </c>
      <c s="393" r="CF65"/>
      <c s="382" r="CG65"/>
      <c s="394" r="CH65" t="n">
        <f>IF(CG$16=0,0,-CG65/CG$16)</f>
        <v>0</v>
      </c>
      <c s="393" r="CI65"/>
      <c s="382" r="CJ65"/>
      <c s="394" r="CK65" t="n">
        <f>IF(CJ$16=0,0,-CJ65/CJ$16)</f>
        <v>0</v>
      </c>
      <c s="390" r="CL65"/>
      <c s="393" r="CM65" t="n">
        <f>IF(CM$6=0,0,(BX65*BX$6+CA65*CA$6+CD65*CD$6+CG65*CG$6+CJ65*CJ$6)/CM$6)</f>
        <v>0</v>
      </c>
      <c s="398" r="CN65" t="n">
        <f>IF(CM$16=0,0,-CM65/CM$16)</f>
        <v>0</v>
      </c>
      <c s="398" r="CO65"/>
      <c s="379" r="CP65" t="n">
        <f>IF(CP$6=0,0,(D65*D$6+V65*V$6+AN65*AN$6+BF65*BF$6+BX65*BX$6)/CP$6)</f>
        <v>0</v>
      </c>
      <c s="398" r="CQ65" t="n">
        <f>IF(CP$16=0,0,-CP65/CP$16)</f>
        <v>0</v>
      </c>
      <c s="395" r="CR65"/>
      <c s="379" r="CS65" t="n">
        <f>IF(CS$6=0,0,(G65*G$6+Y65*Y$6+AQ65*AQ$6+BI65*BI$6+CA65*CA$6)/CS$6)</f>
        <v>0</v>
      </c>
      <c s="398" r="CT65" t="n">
        <f>IF(CS$16=0,0,-CS65/CS$16)</f>
        <v>0</v>
      </c>
      <c s="395" r="CU65"/>
      <c s="379" r="CV65" t="n">
        <f>IF(CV$6=0,0,(J65*J$6+AB65*AB$6+AT65*AT$6+BL65*BL$6+CD65*CD$6)/CV$6)</f>
        <v>0</v>
      </c>
      <c s="398" r="CW65" t="n">
        <f>IF(CV$16=0,0,-CV65/CV$16)</f>
        <v>0</v>
      </c>
      <c s="395" r="CX65"/>
      <c s="379" r="CY65" t="n">
        <f>IF(CY$6=0,0,(M65*M$6+AE65*AE$6+AW65*AW$6+BO65*BO$6+CG65*CG$6)/CY$6)</f>
        <v>0</v>
      </c>
      <c s="398" r="CZ65" t="n">
        <f>IF(CY$16=0,0,-CY65/CY$16)</f>
        <v>0</v>
      </c>
      <c s="395" r="DA65"/>
      <c s="379" r="DB65" t="n">
        <f>IF(DB$6=0,0,(P65*P$6+AH65*AH$6+AZ65*AZ$6+BR65*BR$6+CJ65*CJ$6)/DB$6)</f>
        <v>0</v>
      </c>
      <c s="398" r="DC65" t="n">
        <f>IF(DB$16=0,0,-DB65/DB$16)</f>
        <v>0</v>
      </c>
      <c s="395" r="DD65"/>
      <c s="395" r="DE65" t="n">
        <f>IF(DE$6=0,0,(S65*S$6+AK65*AK$6+BC65*BC$6+BU65*BU$6+CM65*CM$6)/DE$6)</f>
        <v>0</v>
      </c>
      <c s="398" r="DF65" t="n">
        <f>IF(DE$16=0,0,-DE65/DE$16)</f>
        <v>0</v>
      </c>
      <c s="401" r="DG65"/>
    </row>
    <row r="66" spans="1:111" ht="16.05" customHeight="1" outlineLevel="2">
      <c s="390" r="A66"/>
      <c s="353" r="B66" t="str">
        <v>                 -其他</v>
      </c>
      <c s="392" r="C66"/>
      <c s="382" r="D66"/>
      <c s="394" r="E66" t="n">
        <f>IF(D$16=0,0,-D66/D$16)</f>
        <v>0</v>
      </c>
      <c s="393" r="F66"/>
      <c s="382" r="G66"/>
      <c s="394" r="H66" t="n">
        <f>IF(G$16=0,0,-G66/G$16)</f>
        <v>0</v>
      </c>
      <c s="393" r="I66"/>
      <c s="382" r="J66"/>
      <c s="394" r="K66" t="n">
        <f>IF(J$16=0,0,-J66/J$16)</f>
        <v>0</v>
      </c>
      <c s="393" r="L66"/>
      <c s="382" r="M66"/>
      <c s="394" r="N66" t="n">
        <f>IF(M$16=0,0,-M66/M$16)</f>
        <v>0</v>
      </c>
      <c s="393" r="O66"/>
      <c s="382" r="P66"/>
      <c s="394" r="Q66" t="n">
        <f>IF(P$16=0,0,-P66/P$16)</f>
        <v>0</v>
      </c>
      <c s="390" r="R66"/>
      <c s="393" r="S66" t="n">
        <f>IF(S$6=0,0,(D66*D$6+G66*G$6+J66*J$6+M66*M$6+P66*P$6)/S$6)</f>
        <v>0</v>
      </c>
      <c s="398" r="T66" t="n">
        <f>IF(S$16=0,0,-S66/S$16)</f>
        <v>0</v>
      </c>
      <c s="398" r="U66"/>
      <c s="382" r="V66"/>
      <c s="394" r="W66" t="n">
        <f>IF(V$16=0,0,-V66/V$16)</f>
        <v>0</v>
      </c>
      <c s="393" r="X66"/>
      <c s="382" r="Y66"/>
      <c s="394" r="Z66" t="n">
        <f>IF(Y$16=0,0,-Y66/Y$16)</f>
        <v>0</v>
      </c>
      <c s="393" r="AA66"/>
      <c s="382" r="AB66"/>
      <c s="394" r="AC66" t="n">
        <f>IF(AB$16=0,0,-AB66/AB$16)</f>
        <v>0</v>
      </c>
      <c s="393" r="AD66"/>
      <c s="382" r="AE66"/>
      <c s="394" r="AF66" t="n">
        <f>IF(AE$16=0,0,-AE66/AE$16)</f>
        <v>0</v>
      </c>
      <c s="393" r="AG66"/>
      <c s="382" r="AH66"/>
      <c s="394" r="AI66" t="n">
        <f>IF(AH$16=0,0,-AH66/AH$16)</f>
        <v>0</v>
      </c>
      <c s="390" r="AJ66"/>
      <c s="393" r="AK66" t="n">
        <f>IF(AK$6=0,0,(V66*V$6+Y66*Y$6+AB66*AB$6+AE66*AE$6+AH66*AH$6)/AK$6)</f>
        <v>0</v>
      </c>
      <c s="398" r="AL66" t="n">
        <f>IF(AK$16=0,0,-AK66/AK$16)</f>
        <v>0</v>
      </c>
      <c s="398" r="AM66"/>
      <c s="382" r="AN66"/>
      <c s="394" r="AO66" t="n">
        <f>IF(AN$16=0,0,-AN66/AN$16)</f>
        <v>0</v>
      </c>
      <c s="393" r="AP66"/>
      <c s="382" r="AQ66"/>
      <c s="394" r="AR66" t="n">
        <f>IF(AQ$16=0,0,-AQ66/AQ$16)</f>
        <v>0</v>
      </c>
      <c s="393" r="AS66"/>
      <c s="382" r="AT66"/>
      <c s="394" r="AU66" t="n">
        <f>IF(AT$16=0,0,-AT66/AT$16)</f>
        <v>0</v>
      </c>
      <c s="393" r="AV66"/>
      <c s="382" r="AW66"/>
      <c s="394" r="AX66" t="n">
        <f>IF(AW$16=0,0,-AW66/AW$16)</f>
        <v>0</v>
      </c>
      <c s="393" r="AY66"/>
      <c s="382" r="AZ66"/>
      <c s="394" r="BA66" t="n">
        <f>IF(AZ$16=0,0,-AZ66/AZ$16)</f>
        <v>0</v>
      </c>
      <c s="390" r="BB66"/>
      <c s="393" r="BC66" t="n">
        <f>IF(BC$6=0,0,(AN66*AN$6+AQ66*AQ$6+AT66*AT$6+AW66*AW$6+AZ66*AZ$6)/BC$6)</f>
        <v>0</v>
      </c>
      <c s="398" r="BD66" t="n">
        <f>IF(BC$16=0,0,-BC66/BC$16)</f>
        <v>0</v>
      </c>
      <c s="398" r="BE66"/>
      <c s="382" r="BF66"/>
      <c s="394" r="BG66" t="n">
        <f>IF(BF$16=0,0,-BF66/BF$16)</f>
        <v>0</v>
      </c>
      <c s="393" r="BH66"/>
      <c s="382" r="BI66"/>
      <c s="394" r="BJ66" t="n">
        <f>IF(BI$16=0,0,-BI66/BI$16)</f>
        <v>0</v>
      </c>
      <c s="393" r="BK66"/>
      <c s="382" r="BL66"/>
      <c s="394" r="BM66" t="n">
        <f>IF(BL$16=0,0,-BL66/BL$16)</f>
        <v>0</v>
      </c>
      <c s="393" r="BN66"/>
      <c s="382" r="BO66"/>
      <c s="394" r="BP66" t="n">
        <f>IF(BO$16=0,0,-BO66/BO$16)</f>
        <v>0</v>
      </c>
      <c s="393" r="BQ66"/>
      <c s="382" r="BR66"/>
      <c s="394" r="BS66" t="n">
        <f>IF(BR$16=0,0,-BR66/BR$16)</f>
        <v>0</v>
      </c>
      <c s="390" r="BT66"/>
      <c s="393" r="BU66" t="n">
        <f>IF(BU$6=0,0,(BF66*BF$6+BI66*BI$6+BL66*BL$6+BO66*BO$6+BR66*BR$6)/BU$6)</f>
        <v>0</v>
      </c>
      <c s="398" r="BV66" t="n">
        <f>IF(BU$16=0,0,-BU66/BU$16)</f>
        <v>0</v>
      </c>
      <c s="398" r="BW66"/>
      <c s="382" r="BX66"/>
      <c s="394" r="BY66" t="n">
        <f>IF(BX$16=0,0,-BX66/BX$16)</f>
        <v>0</v>
      </c>
      <c s="393" r="BZ66"/>
      <c s="382" r="CA66"/>
      <c s="394" r="CB66" t="n">
        <f>IF(CA$16=0,0,-CA66/CA$16)</f>
        <v>0</v>
      </c>
      <c s="393" r="CC66"/>
      <c s="382" r="CD66"/>
      <c s="394" r="CE66" t="n">
        <f>IF(CD$16=0,0,-CD66/CD$16)</f>
        <v>0</v>
      </c>
      <c s="393" r="CF66"/>
      <c s="382" r="CG66"/>
      <c s="394" r="CH66" t="n">
        <f>IF(CG$16=0,0,-CG66/CG$16)</f>
        <v>0</v>
      </c>
      <c s="393" r="CI66"/>
      <c s="382" r="CJ66"/>
      <c s="394" r="CK66" t="n">
        <f>IF(CJ$16=0,0,-CJ66/CJ$16)</f>
        <v>0</v>
      </c>
      <c s="390" r="CL66"/>
      <c s="393" r="CM66" t="n">
        <f>IF(CM$6=0,0,(BX66*BX$6+CA66*CA$6+CD66*CD$6+CG66*CG$6+CJ66*CJ$6)/CM$6)</f>
        <v>0</v>
      </c>
      <c s="398" r="CN66" t="n">
        <f>IF(CM$16=0,0,-CM66/CM$16)</f>
        <v>0</v>
      </c>
      <c s="398" r="CO66"/>
      <c s="379" r="CP66" t="n">
        <f>IF(CP$6=0,0,(D66*D$6+V66*V$6+AN66*AN$6+BF66*BF$6+BX66*BX$6)/CP$6)</f>
        <v>0</v>
      </c>
      <c s="398" r="CQ66" t="n">
        <f>IF(CP$16=0,0,-CP66/CP$16)</f>
        <v>0</v>
      </c>
      <c s="395" r="CR66"/>
      <c s="379" r="CS66" t="n">
        <f>IF(CS$6=0,0,(G66*G$6+Y66*Y$6+AQ66*AQ$6+BI66*BI$6+CA66*CA$6)/CS$6)</f>
        <v>0</v>
      </c>
      <c s="398" r="CT66" t="n">
        <f>IF(CS$16=0,0,-CS66/CS$16)</f>
        <v>0</v>
      </c>
      <c s="395" r="CU66"/>
      <c s="379" r="CV66" t="n">
        <f>IF(CV$6=0,0,(J66*J$6+AB66*AB$6+AT66*AT$6+BL66*BL$6+CD66*CD$6)/CV$6)</f>
        <v>0</v>
      </c>
      <c s="398" r="CW66" t="n">
        <f>IF(CV$16=0,0,-CV66/CV$16)</f>
        <v>0</v>
      </c>
      <c s="395" r="CX66"/>
      <c s="379" r="CY66" t="n">
        <f>IF(CY$6=0,0,(M66*M$6+AE66*AE$6+AW66*AW$6+BO66*BO$6+CG66*CG$6)/CY$6)</f>
        <v>0</v>
      </c>
      <c s="398" r="CZ66" t="n">
        <f>IF(CY$16=0,0,-CY66/CY$16)</f>
        <v>0</v>
      </c>
      <c s="395" r="DA66"/>
      <c s="379" r="DB66" t="n">
        <f>IF(DB$6=0,0,(P66*P$6+AH66*AH$6+AZ66*AZ$6+BR66*BR$6+CJ66*CJ$6)/DB$6)</f>
        <v>0</v>
      </c>
      <c s="398" r="DC66" t="n">
        <f>IF(DB$16=0,0,-DB66/DB$16)</f>
        <v>0</v>
      </c>
      <c s="395" r="DD66"/>
      <c s="395" r="DE66" t="n">
        <f>IF(DE$6=0,0,(S66*S$6+AK66*AK$6+BC66*BC$6+BU66*BU$6+CM66*CM$6)/DE$6)</f>
        <v>0</v>
      </c>
      <c s="398" r="DF66" t="n">
        <f>IF(DE$16=0,0,-DE66/DE$16)</f>
        <v>0</v>
      </c>
      <c s="401" r="DG66"/>
    </row>
    <row r="67" spans="1:111">
      <c s="314" r="A67"/>
      <c s="322" r="B67" t="str">
        <v>      市场费用</v>
      </c>
      <c s="336" r="C67"/>
      <c s="431" r="D67"/>
      <c s="432" r="E67" t="n">
        <f>IF(D$16=0,0,-D67/D$16)</f>
        <v>0</v>
      </c>
      <c s="339" r="F67"/>
      <c s="431" r="G67"/>
      <c s="432" r="H67" t="n">
        <f>IF(G$16=0,0,-G67/G$16)</f>
        <v>0</v>
      </c>
      <c s="339" r="I67"/>
      <c s="431" r="J67"/>
      <c s="432" r="K67" t="n">
        <f>IF(J$16=0,0,-J67/J$16)</f>
        <v>0</v>
      </c>
      <c s="339" r="L67"/>
      <c s="431" r="M67"/>
      <c s="432" r="N67" t="n">
        <f>IF(M$16=0,0,-M67/M$16)</f>
        <v>0</v>
      </c>
      <c s="339" r="O67"/>
      <c s="431" r="P67"/>
      <c s="432" r="Q67" t="n">
        <f>IF(P$16=0,0,-P67/P$16)</f>
        <v>0</v>
      </c>
      <c s="324" r="R67"/>
      <c s="350" r="S67" t="n">
        <f>IF(S$6=0,0,(D67*D$6+G67*G$6+J67*J$6+M67*M$6+P67*P$6)/S$6)</f>
        <v>0</v>
      </c>
      <c s="433" r="T67" t="n">
        <f>IF(S$16=0,0,-S67/S$16)</f>
        <v>0</v>
      </c>
      <c s="342" r="U67"/>
      <c s="431" r="V67"/>
      <c s="432" r="W67" t="n">
        <f>IF(V$16=0,0,-V67/V$16)</f>
        <v>0</v>
      </c>
      <c s="339" r="X67"/>
      <c s="431" r="Y67"/>
      <c s="432" r="Z67" t="n">
        <f>IF(Y$16=0,0,-Y67/Y$16)</f>
        <v>0</v>
      </c>
      <c s="339" r="AA67"/>
      <c s="431" r="AB67"/>
      <c s="432" r="AC67" t="n">
        <f>IF(AB$16=0,0,-AB67/AB$16)</f>
        <v>0</v>
      </c>
      <c s="339" r="AD67"/>
      <c s="431" r="AE67"/>
      <c s="432" r="AF67" t="n">
        <f>IF(AE$16=0,0,-AE67/AE$16)</f>
        <v>0</v>
      </c>
      <c s="339" r="AG67"/>
      <c s="431" r="AH67"/>
      <c s="432" r="AI67" t="n">
        <f>IF(AH$16=0,0,-AH67/AH$16)</f>
        <v>0</v>
      </c>
      <c s="324" r="AJ67"/>
      <c s="350" r="AK67" t="n">
        <f>IF(AK$6=0,0,(V67*V$6+Y67*Y$6+AB67*AB$6+AE67*AE$6+AH67*AH$6)/AK$6)</f>
        <v>0</v>
      </c>
      <c s="433" r="AL67" t="n">
        <f>IF(AK$16=0,0,-AK67/AK$16)</f>
        <v>0</v>
      </c>
      <c s="342" r="AM67"/>
      <c s="431" r="AN67"/>
      <c s="432" r="AO67" t="n">
        <f>IF(AN$16=0,0,-AN67/AN$16)</f>
        <v>0</v>
      </c>
      <c s="339" r="AP67"/>
      <c s="431" r="AQ67"/>
      <c s="432" r="AR67" t="n">
        <f>IF(AQ$16=0,0,-AQ67/AQ$16)</f>
        <v>0</v>
      </c>
      <c s="339" r="AS67"/>
      <c s="431" r="AT67"/>
      <c s="432" r="AU67" t="n">
        <f>IF(AT$16=0,0,-AT67/AT$16)</f>
        <v>0</v>
      </c>
      <c s="339" r="AV67"/>
      <c s="431" r="AW67"/>
      <c s="432" r="AX67" t="n">
        <f>IF(AW$16=0,0,-AW67/AW$16)</f>
        <v>0</v>
      </c>
      <c s="339" r="AY67"/>
      <c s="431" r="AZ67"/>
      <c s="432" r="BA67" t="n">
        <f>IF(AZ$16=0,0,-AZ67/AZ$16)</f>
        <v>0</v>
      </c>
      <c s="324" r="BB67"/>
      <c s="350" r="BC67" t="n">
        <f>IF(BC$6=0,0,(AN67*AN$6+AQ67*AQ$6+AT67*AT$6+AW67*AW$6+AZ67*AZ$6)/BC$6)</f>
        <v>0</v>
      </c>
      <c s="433" r="BD67" t="n">
        <f>IF(BC$16=0,0,-BC67/BC$16)</f>
        <v>0</v>
      </c>
      <c s="342" r="BE67"/>
      <c s="431" r="BF67"/>
      <c s="432" r="BG67" t="n">
        <f>IF(BF$16=0,0,-BF67/BF$16)</f>
        <v>0</v>
      </c>
      <c s="339" r="BH67"/>
      <c s="431" r="BI67"/>
      <c s="432" r="BJ67" t="n">
        <f>IF(BI$16=0,0,-BI67/BI$16)</f>
        <v>0</v>
      </c>
      <c s="339" r="BK67"/>
      <c s="431" r="BL67"/>
      <c s="432" r="BM67" t="n">
        <f>IF(BL$16=0,0,-BL67/BL$16)</f>
        <v>0</v>
      </c>
      <c s="339" r="BN67"/>
      <c s="431" r="BO67"/>
      <c s="432" r="BP67" t="n">
        <f>IF(BO$16=0,0,-BO67/BO$16)</f>
        <v>0</v>
      </c>
      <c s="339" r="BQ67"/>
      <c s="431" r="BR67"/>
      <c s="432" r="BS67" t="n">
        <f>IF(BR$16=0,0,-BR67/BR$16)</f>
        <v>0</v>
      </c>
      <c s="324" r="BT67"/>
      <c s="350" r="BU67" t="n">
        <f>IF(BU$6=0,0,(BF67*BF$6+BI67*BI$6+BL67*BL$6+BO67*BO$6+BR67*BR$6)/BU$6)</f>
        <v>0</v>
      </c>
      <c s="433" r="BV67" t="n">
        <f>IF(BU$16=0,0,-BU67/BU$16)</f>
        <v>0</v>
      </c>
      <c s="342" r="BW67"/>
      <c s="431" r="BX67"/>
      <c s="432" r="BY67" t="n">
        <f>IF(BX$16=0,0,-BX67/BX$16)</f>
        <v>0</v>
      </c>
      <c s="339" r="BZ67"/>
      <c s="431" r="CA67"/>
      <c s="432" r="CB67" t="n">
        <f>IF(CA$16=0,0,-CA67/CA$16)</f>
        <v>0</v>
      </c>
      <c s="339" r="CC67"/>
      <c s="431" r="CD67"/>
      <c s="432" r="CE67" t="n">
        <f>IF(CD$16=0,0,-CD67/CD$16)</f>
        <v>0</v>
      </c>
      <c s="339" r="CF67"/>
      <c s="431" r="CG67"/>
      <c s="432" r="CH67" t="n">
        <f>IF(CG$16=0,0,-CG67/CG$16)</f>
        <v>0</v>
      </c>
      <c s="339" r="CI67"/>
      <c s="431" r="CJ67"/>
      <c s="432" r="CK67" t="n">
        <f>IF(CJ$16=0,0,-CJ67/CJ$16)</f>
        <v>0</v>
      </c>
      <c s="324" r="CL67"/>
      <c s="350" r="CM67" t="n">
        <f>IF(CM$6=0,0,(BX67*BX$6+CA67*CA$6+CD67*CD$6+CG67*CG$6+CJ67*CJ$6)/CM$6)</f>
        <v>0</v>
      </c>
      <c s="433" r="CN67" t="n">
        <f>IF(CM$16=0,0,-CM67/CM$16)</f>
        <v>0</v>
      </c>
      <c s="325" r="CO67"/>
      <c s="350" r="CP67" t="n">
        <f>IF(CP$6=0,0,(D67*D$6+V67*V$6+AN67*AN$6+BF67*BF$6+BX67*BX$6)/CP$6)</f>
        <v>0</v>
      </c>
      <c s="433" r="CQ67" t="n">
        <f>IF(CP$16=0,0,-CP67/CP$16)</f>
        <v>0</v>
      </c>
      <c s="326" r="CR67"/>
      <c s="350" r="CS67" t="n">
        <f>IF(CS$6=0,0,(G67*G$6+Y67*Y$6+AQ67*AQ$6+BI67*BI$6+CA67*CA$6)/CS$6)</f>
        <v>0</v>
      </c>
      <c s="433" r="CT67" t="n">
        <f>IF(CS$16=0,0,-CS67/CS$16)</f>
        <v>0</v>
      </c>
      <c s="326" r="CU67"/>
      <c s="350" r="CV67" t="n">
        <f>IF(CV$6=0,0,(J67*J$6+AB67*AB$6+AT67*AT$6+BL67*BL$6+CD67*CD$6)/CV$6)</f>
        <v>0</v>
      </c>
      <c s="433" r="CW67" t="n">
        <f>IF(CV$16=0,0,-CV67/CV$16)</f>
        <v>0</v>
      </c>
      <c s="326" r="CX67"/>
      <c s="350" r="CY67" t="n">
        <f>IF(CY$6=0,0,(M67*M$6+AE67*AE$6+AW67*AW$6+BO67*BO$6+CG67*CG$6)/CY$6)</f>
        <v>0</v>
      </c>
      <c s="433" r="CZ67" t="n">
        <f>IF(CY$16=0,0,-CY67/CY$16)</f>
        <v>0</v>
      </c>
      <c s="326" r="DA67"/>
      <c s="350" r="DB67" t="n">
        <f>IF(DB$6=0,0,(P67*P$6+AH67*AH$6+AZ67*AZ$6+BR67*BR$6+CJ67*CJ$6)/DB$6)</f>
        <v>0</v>
      </c>
      <c s="433" r="DC67" t="n">
        <f>IF(DB$16=0,0,-DB67/DB$16)</f>
        <v>0</v>
      </c>
      <c s="326" r="DD67"/>
      <c s="434" r="DE67" t="n">
        <f>IF(DE$6=0,0,(S67*S$6+AK67*AK$6+BC67*BC$6+BU67*BU$6+CM67*CM$6)/DE$6)</f>
        <v>0</v>
      </c>
      <c s="433" r="DF67" t="n">
        <f>IF(DE$16=0,0,-DE67/DE$16)</f>
        <v>0</v>
      </c>
      <c s="435" r="DG67"/>
    </row>
    <row r="68" spans="1:111" ht="16.05" customHeight="1">
      <c s="314" r="A68"/>
      <c s="410" r="B68" t="str">
        <v>      集团分摊（国税）</v>
      </c>
      <c s="336" r="C68"/>
      <c s="431" r="D68"/>
      <c s="432" r="E68" t="n">
        <f>IF(D$16=0,0,-D68/D$16)</f>
        <v>0</v>
      </c>
      <c s="339" r="F68"/>
      <c s="431" r="G68"/>
      <c s="432" r="H68" t="n">
        <f>IF(G$16=0,0,-G68/G$16)</f>
        <v>0</v>
      </c>
      <c s="339" r="I68"/>
      <c s="431" r="J68"/>
      <c s="432" r="K68" t="n">
        <f>IF(J$16=0,0,-J68/J$16)</f>
        <v>0</v>
      </c>
      <c s="339" r="L68"/>
      <c s="431" r="M68"/>
      <c s="432" r="N68" t="n">
        <f>IF(M$16=0,0,-M68/M$16)</f>
        <v>0</v>
      </c>
      <c s="339" r="O68"/>
      <c s="431" r="P68"/>
      <c s="432" r="Q68" t="n">
        <f>IF(P$16=0,0,-P68/P$16)</f>
        <v>0</v>
      </c>
      <c s="324" r="R68"/>
      <c s="350" r="S68" t="n">
        <f>IF(S$6=0,0,(D68*D$6+G68*G$6+J68*J$6+M68*M$6+P68*P$6)/S$6)</f>
        <v>0</v>
      </c>
      <c s="433" r="T68" t="n">
        <f>IF(S$16=0,0,-S68/S$16)</f>
        <v>0</v>
      </c>
      <c s="342" r="U68"/>
      <c s="431" r="V68"/>
      <c s="432" r="W68" t="n">
        <f>IF(V$16=0,0,-V68/V$16)</f>
        <v>0</v>
      </c>
      <c s="339" r="X68"/>
      <c s="431" r="Y68"/>
      <c s="432" r="Z68" t="n">
        <f>IF(Y$16=0,0,-Y68/Y$16)</f>
        <v>0</v>
      </c>
      <c s="339" r="AA68"/>
      <c s="431" r="AB68"/>
      <c s="432" r="AC68" t="n">
        <f>IF(AB$16=0,0,-AB68/AB$16)</f>
        <v>0</v>
      </c>
      <c s="339" r="AD68"/>
      <c s="431" r="AE68"/>
      <c s="432" r="AF68" t="n">
        <f>IF(AE$16=0,0,-AE68/AE$16)</f>
        <v>0</v>
      </c>
      <c s="339" r="AG68"/>
      <c s="431" r="AH68"/>
      <c s="432" r="AI68" t="n">
        <f>IF(AH$16=0,0,-AH68/AH$16)</f>
        <v>0</v>
      </c>
      <c s="324" r="AJ68"/>
      <c s="350" r="AK68" t="n">
        <f>IF(AK$6=0,0,(V68*V$6+Y68*Y$6+AB68*AB$6+AE68*AE$6+AH68*AH$6)/AK$6)</f>
        <v>0</v>
      </c>
      <c s="433" r="AL68" t="n">
        <f>IF(AK$16=0,0,-AK68/AK$16)</f>
        <v>0</v>
      </c>
      <c s="342" r="AM68"/>
      <c s="431" r="AN68"/>
      <c s="432" r="AO68" t="n">
        <f>IF(AN$16=0,0,-AN68/AN$16)</f>
        <v>0</v>
      </c>
      <c s="339" r="AP68"/>
      <c s="431" r="AQ68"/>
      <c s="432" r="AR68" t="n">
        <f>IF(AQ$16=0,0,-AQ68/AQ$16)</f>
        <v>0</v>
      </c>
      <c s="339" r="AS68"/>
      <c s="431" r="AT68"/>
      <c s="432" r="AU68" t="n">
        <f>IF(AT$16=0,0,-AT68/AT$16)</f>
        <v>0</v>
      </c>
      <c s="339" r="AV68"/>
      <c s="431" r="AW68"/>
      <c s="432" r="AX68" t="n">
        <f>IF(AW$16=0,0,-AW68/AW$16)</f>
        <v>0</v>
      </c>
      <c s="339" r="AY68"/>
      <c s="431" r="AZ68"/>
      <c s="432" r="BA68" t="n">
        <f>IF(AZ$16=0,0,-AZ68/AZ$16)</f>
        <v>0</v>
      </c>
      <c s="324" r="BB68"/>
      <c s="350" r="BC68" t="n">
        <f>IF(BC$6=0,0,(AN68*AN$6+AQ68*AQ$6+AT68*AT$6+AW68*AW$6+AZ68*AZ$6)/BC$6)</f>
        <v>0</v>
      </c>
      <c s="433" r="BD68" t="n">
        <f>IF(BC$16=0,0,-BC68/BC$16)</f>
        <v>0</v>
      </c>
      <c s="342" r="BE68"/>
      <c s="431" r="BF68"/>
      <c s="432" r="BG68" t="n">
        <f>IF(BF$16=0,0,-BF68/BF$16)</f>
        <v>0</v>
      </c>
      <c s="339" r="BH68"/>
      <c s="431" r="BI68"/>
      <c s="432" r="BJ68" t="n">
        <f>IF(BI$16=0,0,-BI68/BI$16)</f>
        <v>0</v>
      </c>
      <c s="339" r="BK68"/>
      <c s="431" r="BL68"/>
      <c s="432" r="BM68" t="n">
        <f>IF(BL$16=0,0,-BL68/BL$16)</f>
        <v>0</v>
      </c>
      <c s="339" r="BN68"/>
      <c s="431" r="BO68"/>
      <c s="432" r="BP68" t="n">
        <f>IF(BO$16=0,0,-BO68/BO$16)</f>
        <v>0</v>
      </c>
      <c s="339" r="BQ68"/>
      <c s="431" r="BR68"/>
      <c s="432" r="BS68" t="n">
        <f>IF(BR$16=0,0,-BR68/BR$16)</f>
        <v>0</v>
      </c>
      <c s="324" r="BT68"/>
      <c s="350" r="BU68" t="n">
        <f>IF(BU$6=0,0,(BF68*BF$6+BI68*BI$6+BL68*BL$6+BO68*BO$6+BR68*BR$6)/BU$6)</f>
        <v>0</v>
      </c>
      <c s="433" r="BV68" t="n">
        <f>IF(BU$16=0,0,-BU68/BU$16)</f>
        <v>0</v>
      </c>
      <c s="342" r="BW68"/>
      <c s="431" r="BX68"/>
      <c s="432" r="BY68" t="n">
        <f>IF(BX$16=0,0,-BX68/BX$16)</f>
        <v>0</v>
      </c>
      <c s="339" r="BZ68"/>
      <c s="431" r="CA68"/>
      <c s="432" r="CB68" t="n">
        <f>IF(CA$16=0,0,-CA68/CA$16)</f>
        <v>0</v>
      </c>
      <c s="339" r="CC68"/>
      <c s="431" r="CD68"/>
      <c s="432" r="CE68" t="n">
        <f>IF(CD$16=0,0,-CD68/CD$16)</f>
        <v>0</v>
      </c>
      <c s="339" r="CF68"/>
      <c s="431" r="CG68"/>
      <c s="432" r="CH68" t="n">
        <f>IF(CG$16=0,0,-CG68/CG$16)</f>
        <v>0</v>
      </c>
      <c s="339" r="CI68"/>
      <c s="431" r="CJ68"/>
      <c s="432" r="CK68" t="n">
        <f>IF(CJ$16=0,0,-CJ68/CJ$16)</f>
        <v>0</v>
      </c>
      <c s="324" r="CL68"/>
      <c s="350" r="CM68" t="n">
        <f>IF(CM$6=0,0,(BX68*BX$6+CA68*CA$6+CD68*CD$6+CG68*CG$6+CJ68*CJ$6)/CM$6)</f>
        <v>0</v>
      </c>
      <c s="433" r="CN68" t="n">
        <f>IF(CM$16=0,0,-CM68/CM$16)</f>
        <v>0</v>
      </c>
      <c s="325" r="CO68"/>
      <c s="350" r="CP68" t="n">
        <f>IF(CP$6=0,0,(D68*D$6+V68*V$6+AN68*AN$6+BF68*BF$6+BX68*BX$6)/CP$6)</f>
        <v>0</v>
      </c>
      <c s="433" r="CQ68" t="n">
        <f>IF(CP$16=0,0,-CP68/CP$16)</f>
        <v>0</v>
      </c>
      <c s="326" r="CR68"/>
      <c s="350" r="CS68" t="n">
        <f>IF(CS$6=0,0,(G68*G$6+Y68*Y$6+AQ68*AQ$6+BI68*BI$6+CA68*CA$6)/CS$6)</f>
        <v>0</v>
      </c>
      <c s="433" r="CT68" t="n">
        <f>IF(CS$16=0,0,-CS68/CS$16)</f>
        <v>0</v>
      </c>
      <c s="326" r="CU68"/>
      <c s="350" r="CV68" t="n">
        <f>IF(CV$6=0,0,(J68*J$6+AB68*AB$6+AT68*AT$6+BL68*BL$6+CD68*CD$6)/CV$6)</f>
        <v>0</v>
      </c>
      <c s="433" r="CW68" t="n">
        <f>IF(CV$16=0,0,-CV68/CV$16)</f>
        <v>0</v>
      </c>
      <c s="326" r="CX68"/>
      <c s="350" r="CY68" t="n">
        <f>IF(CY$6=0,0,(M68*M$6+AE68*AE$6+AW68*AW$6+BO68*BO$6+CG68*CG$6)/CY$6)</f>
        <v>0</v>
      </c>
      <c s="433" r="CZ68" t="n">
        <f>IF(CY$16=0,0,-CY68/CY$16)</f>
        <v>0</v>
      </c>
      <c s="326" r="DA68"/>
      <c s="350" r="DB68" t="n">
        <f>IF(DB$6=0,0,(P68*P$6+AH68*AH$6+AZ68*AZ$6+BR68*BR$6+CJ68*CJ$6)/DB$6)</f>
        <v>0</v>
      </c>
      <c s="433" r="DC68" t="n">
        <f>IF(DB$16=0,0,-DB68/DB$16)</f>
        <v>0</v>
      </c>
      <c s="326" r="DD68"/>
      <c s="434" r="DE68" t="n">
        <f>IF(DE$6=0,0,(S68*S$6+AK68*AK$6+BC68*BC$6+BU68*BU$6+CM68*CM$6)/DE$6)</f>
        <v>0</v>
      </c>
      <c s="433" r="DF68" t="n">
        <f>IF(DE$16=0,0,-DE68/DE$16)</f>
        <v>0</v>
      </c>
      <c s="435" r="DG68"/>
    </row>
    <row r="69" spans="1:111" collapsed="1">
      <c s="314" r="A69"/>
      <c s="343" r="B69" t="str">
        <v>EBIT</v>
      </c>
      <c s="344" r="C69"/>
      <c s="360" r="D69" t="n">
        <f>SUM(D50:D51)</f>
        <v>0</v>
      </c>
      <c s="436" r="E69" t="n">
        <f>IF(D$16=0,0,D69/D$16)</f>
        <v>0</v>
      </c>
      <c s="326" r="F69"/>
      <c s="360" r="G69" t="n">
        <f>SUM(G50:G51)</f>
        <v>0</v>
      </c>
      <c s="436" r="H69" t="n">
        <f>IF(G$16=0,0,G69/G$16)</f>
        <v>0</v>
      </c>
      <c s="326" r="I69"/>
      <c s="360" r="J69" t="n">
        <f>SUM(J50:J51)</f>
        <v>0</v>
      </c>
      <c s="436" r="K69" t="n">
        <f>IF(J$16=0,0,J69/J$16)</f>
        <v>0</v>
      </c>
      <c s="326" r="L69"/>
      <c s="360" r="M69" t="n">
        <f>SUM(M50:M51)</f>
        <v>0</v>
      </c>
      <c s="436" r="N69" t="n">
        <f>IF(M$16=0,0,M69/M$16)</f>
        <v>0</v>
      </c>
      <c s="326" r="O69"/>
      <c s="360" r="P69" t="n">
        <f>SUM(P50:P51)</f>
        <v>0</v>
      </c>
      <c s="436" r="Q69" t="n">
        <f>IF(P$16=0,0,P69/P$16)</f>
        <v>0</v>
      </c>
      <c s="346" r="R69"/>
      <c s="360" r="S69" t="n">
        <f>IF(S$6=0,0,(D69*D$6+G69*G$6+J69*J$6+M69*M$6+P69*P$6)/S$6)</f>
        <v>0</v>
      </c>
      <c s="436" r="T69" t="n">
        <f>IF(S$16=0,0,S69/S$16)</f>
        <v>0</v>
      </c>
      <c s="436" r="U69"/>
      <c s="360" r="V69" t="n">
        <f>SUM(V50:V51)</f>
        <v>0</v>
      </c>
      <c s="436" r="W69" t="n">
        <f>IF(V$16=0,0,V69/V$16)</f>
        <v>0</v>
      </c>
      <c s="326" r="X69"/>
      <c s="360" r="Y69" t="n">
        <f>SUM(Y50:Y51)</f>
        <v>0</v>
      </c>
      <c s="436" r="Z69" t="n">
        <f>IF(Y$16=0,0,Y69/Y$16)</f>
        <v>0</v>
      </c>
      <c s="326" r="AA69"/>
      <c s="360" r="AB69" t="n">
        <f>SUM(AB50:AB51)</f>
        <v>0</v>
      </c>
      <c s="436" r="AC69" t="n">
        <f>IF(AB$16=0,0,AB69/AB$16)</f>
        <v>0</v>
      </c>
      <c s="326" r="AD69"/>
      <c s="360" r="AE69" t="n">
        <f>SUM(AE50:AE51)</f>
        <v>0</v>
      </c>
      <c s="436" r="AF69" t="n">
        <f>IF(AE$16=0,0,AE69/AE$16)</f>
        <v>0</v>
      </c>
      <c s="326" r="AG69"/>
      <c s="360" r="AH69" t="n">
        <f>SUM(AH50:AH51)</f>
        <v>0</v>
      </c>
      <c s="436" r="AI69" t="n">
        <f>IF(AH$16=0,0,AH69/AH$16)</f>
        <v>0</v>
      </c>
      <c s="346" r="AJ69"/>
      <c s="360" r="AK69" t="n">
        <f>IF(AK$6=0,0,(V69*V$6+Y69*Y$6+AB69*AB$6+AE69*AE$6+AH69*AH$6)/AK$6)</f>
        <v>0</v>
      </c>
      <c s="436" r="AL69" t="n">
        <f>IF(AK$16=0,0,AK69/AK$16)</f>
        <v>0</v>
      </c>
      <c s="436" r="AM69"/>
      <c s="360" r="AN69" t="n">
        <f>SUM(AN50:AN51)</f>
        <v>0</v>
      </c>
      <c s="436" r="AO69" t="n">
        <f>IF(AN$16=0,0,AN69/AN$16)</f>
        <v>0</v>
      </c>
      <c s="326" r="AP69"/>
      <c s="360" r="AQ69" t="n">
        <f>SUM(AQ50:AQ51)</f>
        <v>0</v>
      </c>
      <c s="436" r="AR69" t="n">
        <f>IF(AQ$16=0,0,AQ69/AQ$16)</f>
        <v>0</v>
      </c>
      <c s="326" r="AS69"/>
      <c s="360" r="AT69" t="n">
        <f>SUM(AT50:AT51)</f>
        <v>0</v>
      </c>
      <c s="436" r="AU69" t="n">
        <f>IF(AT$16=0,0,AT69/AT$16)</f>
        <v>0</v>
      </c>
      <c s="326" r="AV69"/>
      <c s="360" r="AW69" t="n">
        <f>SUM(AW50:AW51)</f>
        <v>0</v>
      </c>
      <c s="436" r="AX69" t="n">
        <f>IF(AW$16=0,0,AW69/AW$16)</f>
        <v>0</v>
      </c>
      <c s="326" r="AY69"/>
      <c s="360" r="AZ69" t="n">
        <f>SUM(AZ50:AZ51)</f>
        <v>0</v>
      </c>
      <c s="436" r="BA69" t="n">
        <f>IF(AZ$16=0,0,AZ69/AZ$16)</f>
        <v>0</v>
      </c>
      <c s="346" r="BB69"/>
      <c s="360" r="BC69" t="n">
        <f>IF(BC$6=0,0,(AN69*AN$6+AQ69*AQ$6+AT69*AT$6+AW69*AW$6+AZ69*AZ$6)/BC$6)</f>
        <v>0</v>
      </c>
      <c s="436" r="BD69" t="n">
        <f>IF(BC$16=0,0,BC69/BC$16)</f>
        <v>0</v>
      </c>
      <c s="436" r="BE69"/>
      <c s="360" r="BF69" t="n">
        <f>SUM(BF50:BF51)</f>
        <v>0</v>
      </c>
      <c s="436" r="BG69" t="n">
        <f>IF(BF$16=0,0,BF69/BF$16)</f>
        <v>0</v>
      </c>
      <c s="326" r="BH69"/>
      <c s="360" r="BI69" t="n">
        <f>SUM(BI50:BI51)</f>
        <v>0</v>
      </c>
      <c s="436" r="BJ69" t="n">
        <f>IF(BI$16=0,0,BI69/BI$16)</f>
        <v>0</v>
      </c>
      <c s="326" r="BK69"/>
      <c s="360" r="BL69" t="n">
        <f>SUM(BL50:BL51)</f>
        <v>0</v>
      </c>
      <c s="436" r="BM69" t="n">
        <f>IF(BL$16=0,0,BL69/BL$16)</f>
        <v>0</v>
      </c>
      <c s="326" r="BN69"/>
      <c s="360" r="BO69" t="n">
        <f>SUM(BO50:BO51)</f>
        <v>0</v>
      </c>
      <c s="436" r="BP69" t="n">
        <f>IF(BO$16=0,0,BO69/BO$16)</f>
        <v>0</v>
      </c>
      <c s="326" r="BQ69"/>
      <c s="360" r="BR69" t="n">
        <f>SUM(BR50:BR51)</f>
        <v>0</v>
      </c>
      <c s="436" r="BS69" t="n">
        <f>IF(BR$16=0,0,BR69/BR$16)</f>
        <v>0</v>
      </c>
      <c s="346" r="BT69"/>
      <c s="360" r="BU69" t="n">
        <f>IF(BU$6=0,0,(BF69*BF$6+BI69*BI$6+BL69*BL$6+BO69*BO$6+BR69*BR$6)/BU$6)</f>
        <v>0</v>
      </c>
      <c s="436" r="BV69" t="n">
        <f>IF(BU$16=0,0,BU69/BU$16)</f>
        <v>0</v>
      </c>
      <c s="436" r="BW69"/>
      <c s="360" r="BX69" t="n">
        <f>SUM(BX50:BX51)</f>
        <v>0</v>
      </c>
      <c s="436" r="BY69" t="n">
        <f>IF(BX$16=0,0,BX69/BX$16)</f>
        <v>0</v>
      </c>
      <c s="326" r="BZ69"/>
      <c s="360" r="CA69" t="n">
        <f>SUM(CA50:CA51)</f>
        <v>0</v>
      </c>
      <c s="436" r="CB69" t="n">
        <f>IF(CA$16=0,0,CA69/CA$16)</f>
        <v>0</v>
      </c>
      <c s="326" r="CC69"/>
      <c s="360" r="CD69" t="n">
        <f>SUM(CD50:CD51)</f>
        <v>0</v>
      </c>
      <c s="436" r="CE69" t="n">
        <f>IF(CD$16=0,0,CD69/CD$16)</f>
        <v>0</v>
      </c>
      <c s="326" r="CF69"/>
      <c s="360" r="CG69" t="n">
        <f>SUM(CG50:CG51)</f>
        <v>0</v>
      </c>
      <c s="436" r="CH69" t="n">
        <f>IF(CG$16=0,0,CG69/CG$16)</f>
        <v>0</v>
      </c>
      <c s="326" r="CI69"/>
      <c s="360" r="CJ69" t="n">
        <f>SUM(CJ50:CJ51)</f>
        <v>0</v>
      </c>
      <c s="436" r="CK69" t="n">
        <f>IF(CJ$16=0,0,CJ69/CJ$16)</f>
        <v>0</v>
      </c>
      <c s="346" r="CL69"/>
      <c s="360" r="CM69" t="n">
        <f>IF(CM$6=0,0,(BX69*BX$6+CA69*CA$6+CD69*CD$6+CG69*CG$6+CJ69*CJ$6)/CM$6)</f>
        <v>0</v>
      </c>
      <c s="436" r="CN69" t="n">
        <f>IF(CM$16=0,0,CM69/CM$16)</f>
        <v>0</v>
      </c>
      <c s="436" r="CO69"/>
      <c s="360" r="CP69" t="n">
        <f>IF(CP$6=0,0,(D69*D$6+V69*V$6+AN69*AN$6+BF69*BF$6+BX69*BX$6)/CP$6)</f>
        <v>0</v>
      </c>
      <c s="436" r="CQ69" t="n">
        <f>IF(CP$16=0,0,CP69/CP$16)</f>
        <v>0</v>
      </c>
      <c s="360" r="CR69"/>
      <c s="360" r="CS69" t="n">
        <f>IF(CS$6=0,0,(G69*G$6+Y69*Y$6+AQ69*AQ$6+BI69*BI$6+CA69*CA$6)/CS$6)</f>
        <v>0</v>
      </c>
      <c s="436" r="CT69" t="n">
        <f>IF(CS$16=0,0,CS69/CS$16)</f>
        <v>0</v>
      </c>
      <c s="360" r="CU69"/>
      <c s="360" r="CV69" t="n">
        <f>IF(CV$6=0,0,(J69*J$6+AB69*AB$6+AT69*AT$6+BL69*BL$6+CD69*CD$6)/CV$6)</f>
        <v>0</v>
      </c>
      <c s="436" r="CW69" t="n">
        <f>IF(CV$16=0,0,CV69/CV$16)</f>
        <v>0</v>
      </c>
      <c s="360" r="CX69"/>
      <c s="360" r="CY69" t="n">
        <f>IF(CY$6=0,0,(M69*M$6+AE69*AE$6+AW69*AW$6+BO69*BO$6+CG69*CG$6)/CY$6)</f>
        <v>0</v>
      </c>
      <c s="436" r="CZ69" t="n">
        <f>IF(CY$16=0,0,CY69/CY$16)</f>
        <v>0</v>
      </c>
      <c s="360" r="DA69"/>
      <c s="360" r="DB69" t="n">
        <f>IF(DB$6=0,0,(P69*P$6+AH69*AH$6+AZ69*AZ$6+BR69*BR$6+CJ69*CJ$6)/DB$6)</f>
        <v>0</v>
      </c>
      <c s="436" r="DC69" t="n">
        <f>IF(DB$16=0,0,DB69/DB$16)</f>
        <v>0</v>
      </c>
      <c s="360" r="DD69"/>
      <c s="360" r="DE69" t="n">
        <f>IF(DE$6=0,0,(S69*S$6+AK69*AK$6+BC69*BC$6+BU69*BU$6+CM69*CM$6)/DE$6)</f>
        <v>0</v>
      </c>
      <c s="436" r="DF69" t="n">
        <f>IF(DE$16=0,0,DE69/DE$16)</f>
        <v>0</v>
      </c>
      <c s="335" r="DG69"/>
    </row>
    <row r="70" spans="1:111" ht="22" customHeight="1">
      <c s="321" r="A70"/>
      <c s="322" r="B70"/>
      <c s="331" r="C70"/>
      <c s="332" r="D70"/>
      <c s="332" r="E70"/>
      <c s="333" r="F70"/>
      <c s="332" r="G70"/>
      <c s="332" r="H70"/>
      <c s="333" r="I70"/>
      <c s="332" r="J70"/>
      <c s="332" r="K70"/>
      <c s="333" r="L70"/>
      <c s="332" r="M70"/>
      <c s="332" r="N70"/>
      <c s="333" r="O70"/>
      <c s="332" r="P70"/>
      <c s="332" r="Q70"/>
      <c s="334" r="R70"/>
      <c s="332" r="S70"/>
      <c s="332" r="T70"/>
      <c s="324" r="U70"/>
      <c s="332" r="V70"/>
      <c s="332" r="W70"/>
      <c s="333" r="X70"/>
      <c s="332" r="Y70"/>
      <c s="332" r="Z70"/>
      <c s="333" r="AA70"/>
      <c s="332" r="AB70"/>
      <c s="332" r="AC70"/>
      <c s="333" r="AD70"/>
      <c s="332" r="AE70"/>
      <c s="332" r="AF70"/>
      <c s="333" r="AG70"/>
      <c s="332" r="AH70"/>
      <c s="332" r="AI70"/>
      <c s="334" r="AJ70"/>
      <c s="332" r="AK70"/>
      <c s="332" r="AL70"/>
      <c s="324" r="AM70"/>
      <c s="332" r="AN70"/>
      <c s="332" r="AO70"/>
      <c s="333" r="AP70"/>
      <c s="332" r="AQ70"/>
      <c s="332" r="AR70"/>
      <c s="333" r="AS70"/>
      <c s="332" r="AT70"/>
      <c s="332" r="AU70"/>
      <c s="333" r="AV70"/>
      <c s="332" r="AW70"/>
      <c s="332" r="AX70"/>
      <c s="333" r="AY70"/>
      <c s="332" r="AZ70"/>
      <c s="332" r="BA70"/>
      <c s="334" r="BB70"/>
      <c s="332" r="BC70"/>
      <c s="332" r="BD70"/>
      <c s="324" r="BE70"/>
      <c s="332" r="BF70"/>
      <c s="332" r="BG70"/>
      <c s="333" r="BH70"/>
      <c s="332" r="BI70"/>
      <c s="332" r="BJ70"/>
      <c s="333" r="BK70"/>
      <c s="332" r="BL70"/>
      <c s="332" r="BM70"/>
      <c s="333" r="BN70"/>
      <c s="332" r="BO70"/>
      <c s="332" r="BP70"/>
      <c s="333" r="BQ70"/>
      <c s="332" r="BR70"/>
      <c s="332" r="BS70"/>
      <c s="334" r="BT70"/>
      <c s="332" r="BU70"/>
      <c s="332" r="BV70"/>
      <c s="324" r="BW70"/>
      <c s="332" r="BX70"/>
      <c s="332" r="BY70"/>
      <c s="333" r="BZ70"/>
      <c s="332" r="CA70"/>
      <c s="332" r="CB70"/>
      <c s="333" r="CC70"/>
      <c s="332" r="CD70"/>
      <c s="332" r="CE70"/>
      <c s="333" r="CF70"/>
      <c s="332" r="CG70"/>
      <c s="332" r="CH70"/>
      <c s="333" r="CI70"/>
      <c s="332" r="CJ70"/>
      <c s="332" r="CK70"/>
      <c s="334" r="CL70"/>
      <c s="332" r="CM70"/>
      <c s="332" r="CN70"/>
      <c s="325" r="CO70"/>
      <c s="332" r="CP70"/>
      <c s="332" r="CQ70"/>
      <c s="326" r="CR70"/>
      <c s="332" r="CS70"/>
      <c s="332" r="CT70"/>
      <c s="326" r="CU70"/>
      <c s="332" r="CV70"/>
      <c s="332" r="CW70"/>
      <c s="326" r="CX70"/>
      <c s="332" r="CY70"/>
      <c s="332" r="CZ70"/>
      <c s="326" r="DA70"/>
      <c s="332" r="DB70"/>
      <c s="332" r="DC70"/>
      <c s="326" r="DD70"/>
      <c s="332" r="DE70"/>
      <c s="332" r="DF70"/>
      <c s="335" r="DG70"/>
    </row>
    <row r="71" spans="1:111" ht="22" customHeight="1">
      <c s="321" r="A71"/>
      <c s="322" r="B71"/>
      <c s="331" r="C71"/>
      <c s="332" r="D71"/>
      <c s="332" r="E71"/>
      <c s="333" r="F71"/>
      <c s="332" r="G71"/>
      <c s="332" r="H71"/>
      <c s="333" r="I71"/>
      <c s="332" r="J71"/>
      <c s="332" r="K71"/>
      <c s="333" r="L71"/>
      <c s="332" r="M71"/>
      <c s="332" r="N71"/>
      <c s="333" r="O71"/>
      <c s="332" r="P71"/>
      <c s="332" r="Q71"/>
      <c s="334" r="R71"/>
      <c s="332" r="S71"/>
      <c s="332" r="T71"/>
      <c s="324" r="U71"/>
      <c s="332" r="V71"/>
      <c s="332" r="W71"/>
      <c s="333" r="X71"/>
      <c s="332" r="Y71"/>
      <c s="332" r="Z71"/>
      <c s="333" r="AA71"/>
      <c s="332" r="AB71"/>
      <c s="332" r="AC71"/>
      <c s="333" r="AD71"/>
      <c s="332" r="AE71"/>
      <c s="332" r="AF71"/>
      <c s="333" r="AG71"/>
      <c s="332" r="AH71"/>
      <c s="332" r="AI71"/>
      <c s="334" r="AJ71"/>
      <c s="332" r="AK71"/>
      <c s="332" r="AL71"/>
      <c s="324" r="AM71"/>
      <c s="332" r="AN71"/>
      <c s="332" r="AO71"/>
      <c s="333" r="AP71"/>
      <c s="332" r="AQ71"/>
      <c s="332" r="AR71"/>
      <c s="333" r="AS71"/>
      <c s="332" r="AT71"/>
      <c s="332" r="AU71"/>
      <c s="333" r="AV71"/>
      <c s="332" r="AW71"/>
      <c s="332" r="AX71"/>
      <c s="333" r="AY71"/>
      <c s="332" r="AZ71"/>
      <c s="332" r="BA71"/>
      <c s="334" r="BB71"/>
      <c s="332" r="BC71"/>
      <c s="332" r="BD71"/>
      <c s="324" r="BE71"/>
      <c s="332" r="BF71"/>
      <c s="332" r="BG71"/>
      <c s="333" r="BH71"/>
      <c s="332" r="BI71"/>
      <c s="332" r="BJ71"/>
      <c s="333" r="BK71"/>
      <c s="332" r="BL71"/>
      <c s="332" r="BM71"/>
      <c s="333" r="BN71"/>
      <c s="332" r="BO71"/>
      <c s="332" r="BP71"/>
      <c s="333" r="BQ71"/>
      <c s="332" r="BR71"/>
      <c s="332" r="BS71"/>
      <c s="334" r="BT71"/>
      <c s="332" r="BU71"/>
      <c s="332" r="BV71"/>
      <c s="324" r="BW71"/>
      <c s="332" r="BX71"/>
      <c s="332" r="BY71"/>
      <c s="333" r="BZ71"/>
      <c s="332" r="CA71"/>
      <c s="332" r="CB71"/>
      <c s="333" r="CC71"/>
      <c s="332" r="CD71"/>
      <c s="332" r="CE71"/>
      <c s="333" r="CF71"/>
      <c s="332" r="CG71"/>
      <c s="332" r="CH71"/>
      <c s="333" r="CI71"/>
      <c s="332" r="CJ71"/>
      <c s="332" r="CK71"/>
      <c s="334" r="CL71"/>
      <c s="332" r="CM71"/>
      <c s="332" r="CN71"/>
      <c s="325" r="CO71"/>
      <c s="332" r="CP71"/>
      <c s="332" r="CQ71"/>
      <c s="326" r="CR71"/>
      <c s="332" r="CS71"/>
      <c s="332" r="CT71"/>
      <c s="326" r="CU71"/>
      <c s="332" r="CV71"/>
      <c s="332" r="CW71"/>
      <c s="326" r="CX71"/>
      <c s="332" r="CY71"/>
      <c s="332" r="CZ71"/>
      <c s="326" r="DA71"/>
      <c s="332" r="DB71"/>
      <c s="332" r="DC71"/>
      <c s="326" r="DD71"/>
      <c s="332" r="DE71"/>
      <c s="332" r="DF71"/>
      <c s="335" r="DG71"/>
    </row>
    <row r="72" spans="1:111" ht="23" customHeight="1">
      <c s="321" r="A72"/>
      <c s="343" r="B72" t="str">
        <v>计算参数</v>
      </c>
      <c s="331" r="C72"/>
      <c s="332" r="D72" t="str">
        <v>按上方同列的年度、车型填写</v>
      </c>
      <c s="332" r="E72"/>
      <c s="333" r="F72"/>
      <c s="332" r="G72"/>
      <c s="332" r="H72"/>
      <c s="333" r="I72"/>
      <c s="332" r="J72"/>
      <c s="332" r="K72"/>
      <c s="333" r="L72"/>
      <c s="332" r="M72"/>
      <c s="332" r="N72"/>
      <c s="333" r="O72"/>
      <c s="332" r="P72"/>
      <c s="332" r="Q72"/>
      <c s="334" r="R72"/>
      <c s="332" r="S72"/>
      <c s="332" r="T72"/>
      <c s="324" r="U72"/>
      <c s="332" r="V72"/>
      <c s="332" r="W72"/>
      <c s="333" r="X72"/>
      <c s="332" r="Y72"/>
      <c s="332" r="Z72"/>
      <c s="333" r="AA72"/>
      <c s="332" r="AB72"/>
      <c s="332" r="AC72"/>
      <c s="333" r="AD72"/>
      <c s="332" r="AE72"/>
      <c s="332" r="AF72"/>
      <c s="333" r="AG72"/>
      <c s="332" r="AH72"/>
      <c s="332" r="AI72"/>
      <c s="334" r="AJ72"/>
      <c s="332" r="AK72"/>
      <c s="332" r="AL72"/>
      <c s="324" r="AM72"/>
      <c s="332" r="AN72"/>
      <c s="332" r="AO72"/>
      <c s="333" r="AP72"/>
      <c s="332" r="AQ72"/>
      <c s="332" r="AR72"/>
      <c s="333" r="AS72"/>
      <c s="332" r="AT72"/>
      <c s="332" r="AU72"/>
      <c s="333" r="AV72"/>
      <c s="332" r="AW72"/>
      <c s="332" r="AX72"/>
      <c s="333" r="AY72"/>
      <c s="332" r="AZ72"/>
      <c s="332" r="BA72"/>
      <c s="334" r="BB72"/>
      <c s="332" r="BC72"/>
      <c s="332" r="BD72"/>
      <c s="324" r="BE72"/>
      <c s="332" r="BF72"/>
      <c s="332" r="BG72"/>
      <c s="333" r="BH72"/>
      <c s="332" r="BI72"/>
      <c s="332" r="BJ72"/>
      <c s="333" r="BK72"/>
      <c s="332" r="BL72"/>
      <c s="332" r="BM72"/>
      <c s="333" r="BN72"/>
      <c s="332" r="BO72"/>
      <c s="332" r="BP72"/>
      <c s="333" r="BQ72"/>
      <c s="332" r="BR72"/>
      <c s="332" r="BS72"/>
      <c s="334" r="BT72"/>
      <c s="332" r="BU72"/>
      <c s="332" r="BV72"/>
      <c s="324" r="BW72"/>
      <c s="332" r="BX72"/>
      <c s="332" r="BY72"/>
      <c s="333" r="BZ72"/>
      <c s="332" r="CA72"/>
      <c s="332" r="CB72"/>
      <c s="333" r="CC72"/>
      <c s="332" r="CD72"/>
      <c s="332" r="CE72"/>
      <c s="333" r="CF72"/>
      <c s="332" r="CG72"/>
      <c s="332" r="CH72"/>
      <c s="333" r="CI72"/>
      <c s="332" r="CJ72"/>
      <c s="332" r="CK72"/>
      <c s="334" r="CL72"/>
      <c s="332" r="CM72"/>
      <c s="332" r="CN72"/>
      <c s="325" r="CO72"/>
      <c s="332" r="CP72"/>
      <c s="332" r="CQ72"/>
      <c s="326" r="CR72"/>
      <c s="332" r="CS72"/>
      <c s="332" r="CT72"/>
      <c s="326" r="CU72"/>
      <c s="332" r="CV72"/>
      <c s="332" r="CW72"/>
      <c s="326" r="CX72"/>
      <c s="332" r="CY72"/>
      <c s="332" r="CZ72"/>
      <c s="326" r="DA72"/>
      <c s="332" r="DB72"/>
      <c s="332" r="DC72"/>
      <c s="326" r="DD72"/>
      <c s="332" r="DE72"/>
      <c s="332" r="DF72"/>
      <c s="335" r="DG72"/>
    </row>
    <row r="73" spans="1:111" ht="23" customHeight="1">
      <c s="321" r="A73"/>
      <c s="322" r="B73" t="str">
        <v>增值税率</v>
      </c>
      <c s="331" r="C73"/>
      <c s="361" r="D73"/>
      <c s="332" r="E73"/>
      <c s="333" r="F73"/>
      <c s="361" r="G73"/>
      <c s="332" r="H73"/>
      <c s="333" r="I73"/>
      <c s="361" r="J73"/>
      <c s="332" r="K73"/>
      <c s="333" r="L73"/>
      <c s="361" r="M73"/>
      <c s="332" r="N73"/>
      <c s="333" r="O73"/>
      <c s="361" r="P73"/>
      <c s="332" r="Q73"/>
      <c s="334" r="R73"/>
      <c s="332" r="S73"/>
      <c s="332" r="T73"/>
      <c s="324" r="U73"/>
      <c s="361" r="V73"/>
      <c s="332" r="W73"/>
      <c s="333" r="X73"/>
      <c s="361" r="Y73"/>
      <c s="332" r="Z73"/>
      <c s="333" r="AA73"/>
      <c s="361" r="AB73"/>
      <c s="332" r="AC73"/>
      <c s="333" r="AD73"/>
      <c s="361" r="AE73"/>
      <c s="332" r="AF73"/>
      <c s="333" r="AG73"/>
      <c s="361" r="AH73"/>
      <c s="332" r="AI73"/>
      <c s="334" r="AJ73"/>
      <c s="332" r="AK73"/>
      <c s="332" r="AL73"/>
      <c s="324" r="AM73"/>
      <c s="361" r="AN73"/>
      <c s="332" r="AO73"/>
      <c s="333" r="AP73"/>
      <c s="361" r="AQ73"/>
      <c s="332" r="AR73"/>
      <c s="333" r="AS73"/>
      <c s="361" r="AT73"/>
      <c s="332" r="AU73"/>
      <c s="333" r="AV73"/>
      <c s="361" r="AW73"/>
      <c s="332" r="AX73"/>
      <c s="333" r="AY73"/>
      <c s="361" r="AZ73"/>
      <c s="332" r="BA73"/>
      <c s="334" r="BB73"/>
      <c s="332" r="BC73"/>
      <c s="332" r="BD73"/>
      <c s="324" r="BE73"/>
      <c s="361" r="BF73"/>
      <c s="332" r="BG73"/>
      <c s="333" r="BH73"/>
      <c s="361" r="BI73"/>
      <c s="332" r="BJ73"/>
      <c s="333" r="BK73"/>
      <c s="361" r="BL73"/>
      <c s="332" r="BM73"/>
      <c s="333" r="BN73"/>
      <c s="361" r="BO73"/>
      <c s="332" r="BP73"/>
      <c s="333" r="BQ73"/>
      <c s="361" r="BR73"/>
      <c s="332" r="BS73"/>
      <c s="334" r="BT73"/>
      <c s="332" r="BU73"/>
      <c s="332" r="BV73"/>
      <c s="324" r="BW73"/>
      <c s="361" r="BX73"/>
      <c s="332" r="BY73"/>
      <c s="333" r="BZ73"/>
      <c s="361" r="CA73"/>
      <c s="332" r="CB73"/>
      <c s="333" r="CC73"/>
      <c s="361" r="CD73"/>
      <c s="332" r="CE73"/>
      <c s="333" r="CF73"/>
      <c s="361" r="CG73"/>
      <c s="332" r="CH73"/>
      <c s="333" r="CI73"/>
      <c s="361" r="CJ73"/>
      <c s="332" r="CK73"/>
      <c s="334" r="CL73"/>
      <c s="332" r="CM73"/>
      <c s="332" r="CN73"/>
      <c s="325" r="CO73"/>
      <c s="332" r="CP73"/>
      <c s="332" r="CQ73"/>
      <c s="326" r="CR73"/>
      <c s="332" r="CS73"/>
      <c s="332" r="CT73"/>
      <c s="326" r="CU73"/>
      <c s="332" r="CV73"/>
      <c s="332" r="CW73"/>
      <c s="326" r="CX73"/>
      <c s="332" r="CY73"/>
      <c s="332" r="CZ73"/>
      <c s="326" r="DA73"/>
      <c s="332" r="DB73"/>
      <c s="332" r="DC73"/>
      <c s="326" r="DD73"/>
      <c s="332" r="DE73"/>
      <c s="332" r="DF73"/>
      <c s="335" r="DG73"/>
    </row>
    <row r="74" spans="1:111" ht="23" customHeight="1">
      <c s="321" r="A74"/>
      <c s="322" r="B74" t="str">
        <v>消费税率</v>
      </c>
      <c s="331" r="C74"/>
      <c s="361" r="D74"/>
      <c s="332" r="E74"/>
      <c s="333" r="F74"/>
      <c s="361" r="G74"/>
      <c s="332" r="H74"/>
      <c s="333" r="I74"/>
      <c s="361" r="J74"/>
      <c s="332" r="K74"/>
      <c s="333" r="L74"/>
      <c s="361" r="M74"/>
      <c s="332" r="N74"/>
      <c s="333" r="O74"/>
      <c s="361" r="P74"/>
      <c s="332" r="Q74"/>
      <c s="334" r="R74"/>
      <c s="332" r="S74"/>
      <c s="332" r="T74"/>
      <c s="324" r="U74"/>
      <c s="361" r="V74"/>
      <c s="332" r="W74"/>
      <c s="333" r="X74"/>
      <c s="361" r="Y74"/>
      <c s="332" r="Z74"/>
      <c s="333" r="AA74"/>
      <c s="361" r="AB74"/>
      <c s="332" r="AC74"/>
      <c s="333" r="AD74"/>
      <c s="361" r="AE74"/>
      <c s="332" r="AF74"/>
      <c s="333" r="AG74"/>
      <c s="361" r="AH74"/>
      <c s="332" r="AI74"/>
      <c s="334" r="AJ74"/>
      <c s="332" r="AK74"/>
      <c s="332" r="AL74"/>
      <c s="324" r="AM74"/>
      <c s="361" r="AN74"/>
      <c s="332" r="AO74"/>
      <c s="333" r="AP74"/>
      <c s="361" r="AQ74"/>
      <c s="332" r="AR74"/>
      <c s="333" r="AS74"/>
      <c s="361" r="AT74"/>
      <c s="332" r="AU74"/>
      <c s="333" r="AV74"/>
      <c s="361" r="AW74"/>
      <c s="332" r="AX74"/>
      <c s="333" r="AY74"/>
      <c s="361" r="AZ74"/>
      <c s="332" r="BA74"/>
      <c s="334" r="BB74"/>
      <c s="332" r="BC74"/>
      <c s="332" r="BD74"/>
      <c s="324" r="BE74"/>
      <c s="361" r="BF74"/>
      <c s="332" r="BG74"/>
      <c s="333" r="BH74"/>
      <c s="361" r="BI74"/>
      <c s="332" r="BJ74"/>
      <c s="333" r="BK74"/>
      <c s="361" r="BL74"/>
      <c s="332" r="BM74"/>
      <c s="333" r="BN74"/>
      <c s="361" r="BO74"/>
      <c s="332" r="BP74"/>
      <c s="333" r="BQ74"/>
      <c s="361" r="BR74"/>
      <c s="332" r="BS74"/>
      <c s="334" r="BT74"/>
      <c s="332" r="BU74"/>
      <c s="332" r="BV74"/>
      <c s="324" r="BW74"/>
      <c s="361" r="BX74"/>
      <c s="332" r="BY74"/>
      <c s="333" r="BZ74"/>
      <c s="361" r="CA74"/>
      <c s="332" r="CB74"/>
      <c s="333" r="CC74"/>
      <c s="361" r="CD74"/>
      <c s="332" r="CE74"/>
      <c s="333" r="CF74"/>
      <c s="361" r="CG74"/>
      <c s="332" r="CH74"/>
      <c s="333" r="CI74"/>
      <c s="361" r="CJ74"/>
      <c s="332" r="CK74"/>
      <c s="334" r="CL74"/>
      <c s="332" r="CM74"/>
      <c s="332" r="CN74"/>
      <c s="325" r="CO74"/>
      <c s="332" r="CP74"/>
      <c s="332" r="CQ74"/>
      <c s="326" r="CR74"/>
      <c s="332" r="CS74"/>
      <c s="332" r="CT74"/>
      <c s="326" r="CU74"/>
      <c s="332" r="CV74"/>
      <c s="332" r="CW74"/>
      <c s="326" r="CX74"/>
      <c s="332" r="CY74"/>
      <c s="332" r="CZ74"/>
      <c s="326" r="DA74"/>
      <c s="332" r="DB74"/>
      <c s="332" r="DC74"/>
      <c s="326" r="DD74"/>
      <c s="332" r="DE74"/>
      <c s="332" r="DF74"/>
      <c s="335" r="DG74"/>
    </row>
    <row r="75" spans="1:111" ht="23" customHeight="1">
      <c s="321" r="A75"/>
      <c s="322" r="B75" t="str">
        <v>城建税及教育附加综合税率</v>
      </c>
      <c s="331" r="C75"/>
      <c s="361" r="D75"/>
      <c s="332" r="E75"/>
      <c s="333" r="F75"/>
      <c s="361" r="G75"/>
      <c s="332" r="H75"/>
      <c s="333" r="I75"/>
      <c s="361" r="J75"/>
      <c s="332" r="K75"/>
      <c s="333" r="L75"/>
      <c s="361" r="M75"/>
      <c s="332" r="N75"/>
      <c s="333" r="O75"/>
      <c s="361" r="P75"/>
      <c s="332" r="Q75"/>
      <c s="334" r="R75"/>
      <c s="332" r="S75"/>
      <c s="332" r="T75"/>
      <c s="324" r="U75"/>
      <c s="361" r="V75"/>
      <c s="332" r="W75"/>
      <c s="333" r="X75"/>
      <c s="361" r="Y75"/>
      <c s="332" r="Z75"/>
      <c s="333" r="AA75"/>
      <c s="361" r="AB75"/>
      <c s="332" r="AC75"/>
      <c s="333" r="AD75"/>
      <c s="361" r="AE75"/>
      <c s="332" r="AF75"/>
      <c s="333" r="AG75"/>
      <c s="361" r="AH75"/>
      <c s="332" r="AI75"/>
      <c s="334" r="AJ75"/>
      <c s="332" r="AK75"/>
      <c s="332" r="AL75"/>
      <c s="324" r="AM75"/>
      <c s="361" r="AN75"/>
      <c s="332" r="AO75"/>
      <c s="333" r="AP75"/>
      <c s="361" r="AQ75"/>
      <c s="332" r="AR75"/>
      <c s="333" r="AS75"/>
      <c s="361" r="AT75"/>
      <c s="332" r="AU75"/>
      <c s="333" r="AV75"/>
      <c s="361" r="AW75"/>
      <c s="332" r="AX75"/>
      <c s="333" r="AY75"/>
      <c s="361" r="AZ75"/>
      <c s="332" r="BA75"/>
      <c s="334" r="BB75"/>
      <c s="332" r="BC75"/>
      <c s="332" r="BD75"/>
      <c s="324" r="BE75"/>
      <c s="361" r="BF75"/>
      <c s="332" r="BG75"/>
      <c s="333" r="BH75"/>
      <c s="361" r="BI75"/>
      <c s="332" r="BJ75"/>
      <c s="333" r="BK75"/>
      <c s="361" r="BL75"/>
      <c s="332" r="BM75"/>
      <c s="333" r="BN75"/>
      <c s="361" r="BO75"/>
      <c s="332" r="BP75"/>
      <c s="333" r="BQ75"/>
      <c s="361" r="BR75"/>
      <c s="332" r="BS75"/>
      <c s="334" r="BT75"/>
      <c s="332" r="BU75"/>
      <c s="332" r="BV75"/>
      <c s="324" r="BW75"/>
      <c s="361" r="BX75"/>
      <c s="332" r="BY75"/>
      <c s="333" r="BZ75"/>
      <c s="361" r="CA75"/>
      <c s="332" r="CB75"/>
      <c s="333" r="CC75"/>
      <c s="361" r="CD75"/>
      <c s="332" r="CE75"/>
      <c s="333" r="CF75"/>
      <c s="361" r="CG75"/>
      <c s="332" r="CH75"/>
      <c s="333" r="CI75"/>
      <c s="361" r="CJ75"/>
      <c s="332" r="CK75"/>
      <c s="334" r="CL75"/>
      <c s="332" r="CM75"/>
      <c s="332" r="CN75"/>
      <c s="325" r="CO75"/>
      <c s="332" r="CP75"/>
      <c s="332" r="CQ75"/>
      <c s="326" r="CR75"/>
      <c s="332" r="CS75"/>
      <c s="332" r="CT75"/>
      <c s="326" r="CU75"/>
      <c s="332" r="CV75"/>
      <c s="332" r="CW75"/>
      <c s="326" r="CX75"/>
      <c s="332" r="CY75"/>
      <c s="332" r="CZ75"/>
      <c s="326" r="DA75"/>
      <c s="332" r="DB75"/>
      <c s="332" r="DC75"/>
      <c s="326" r="DD75"/>
      <c s="332" r="DE75"/>
      <c s="332" r="DF75"/>
      <c s="335" r="DG75"/>
    </row>
    <row r="76" spans="1:111" ht="23" customHeight="1">
      <c s="321" r="A76"/>
      <c s="322" r="B76" t="str">
        <v>关税计税基数（元/台）</v>
      </c>
      <c s="331" r="C76"/>
      <c s="393" r="D76"/>
      <c s="332" r="E76"/>
      <c s="333" r="F76"/>
      <c s="393" r="G76"/>
      <c s="332" r="H76"/>
      <c s="333" r="I76"/>
      <c s="393" r="J76"/>
      <c s="332" r="K76"/>
      <c s="333" r="L76"/>
      <c s="393" r="M76"/>
      <c s="332" r="N76"/>
      <c s="333" r="O76"/>
      <c s="393" r="P76"/>
      <c s="332" r="Q76"/>
      <c s="334" r="R76"/>
      <c s="332" r="S76"/>
      <c s="332" r="T76"/>
      <c s="324" r="U76"/>
      <c s="393" r="V76"/>
      <c s="332" r="W76"/>
      <c s="333" r="X76"/>
      <c s="393" r="Y76"/>
      <c s="332" r="Z76"/>
      <c s="333" r="AA76"/>
      <c s="393" r="AB76"/>
      <c s="332" r="AC76"/>
      <c s="333" r="AD76"/>
      <c s="393" r="AE76"/>
      <c s="332" r="AF76"/>
      <c s="333" r="AG76"/>
      <c s="393" r="AH76"/>
      <c s="332" r="AI76"/>
      <c s="334" r="AJ76"/>
      <c s="332" r="AK76"/>
      <c s="332" r="AL76"/>
      <c s="324" r="AM76"/>
      <c s="393" r="AN76"/>
      <c s="332" r="AO76"/>
      <c s="333" r="AP76"/>
      <c s="393" r="AQ76"/>
      <c s="332" r="AR76"/>
      <c s="333" r="AS76"/>
      <c s="393" r="AT76"/>
      <c s="332" r="AU76"/>
      <c s="333" r="AV76"/>
      <c s="393" r="AW76"/>
      <c s="332" r="AX76"/>
      <c s="333" r="AY76"/>
      <c s="393" r="AZ76"/>
      <c s="332" r="BA76"/>
      <c s="334" r="BB76"/>
      <c s="332" r="BC76"/>
      <c s="332" r="BD76"/>
      <c s="324" r="BE76"/>
      <c s="393" r="BF76"/>
      <c s="332" r="BG76"/>
      <c s="333" r="BH76"/>
      <c s="393" r="BI76"/>
      <c s="332" r="BJ76"/>
      <c s="333" r="BK76"/>
      <c s="393" r="BL76"/>
      <c s="332" r="BM76"/>
      <c s="333" r="BN76"/>
      <c s="393" r="BO76"/>
      <c s="332" r="BP76"/>
      <c s="333" r="BQ76"/>
      <c s="393" r="BR76"/>
      <c s="332" r="BS76"/>
      <c s="334" r="BT76"/>
      <c s="332" r="BU76"/>
      <c s="332" r="BV76"/>
      <c s="324" r="BW76"/>
      <c s="393" r="BX76"/>
      <c s="332" r="BY76"/>
      <c s="333" r="BZ76"/>
      <c s="393" r="CA76"/>
      <c s="332" r="CB76"/>
      <c s="333" r="CC76"/>
      <c s="393" r="CD76"/>
      <c s="332" r="CE76"/>
      <c s="333" r="CF76"/>
      <c s="393" r="CG76"/>
      <c s="332" r="CH76"/>
      <c s="333" r="CI76"/>
      <c s="393" r="CJ76"/>
      <c s="332" r="CK76"/>
      <c s="334" r="CL76"/>
      <c s="332" r="CM76"/>
      <c s="332" r="CN76"/>
      <c s="325" r="CO76"/>
      <c s="332" r="CP76"/>
      <c s="332" r="CQ76"/>
      <c s="326" r="CR76"/>
      <c s="332" r="CS76"/>
      <c s="332" r="CT76"/>
      <c s="326" r="CU76"/>
      <c s="332" r="CV76"/>
      <c s="332" r="CW76"/>
      <c s="326" r="CX76"/>
      <c s="332" r="CY76"/>
      <c s="332" r="CZ76"/>
      <c s="326" r="DA76"/>
      <c s="332" r="DB76"/>
      <c s="332" r="DC76"/>
      <c s="326" r="DD76"/>
      <c s="332" r="DE76"/>
      <c s="332" r="DF76"/>
      <c s="335" r="DG76"/>
    </row>
    <row r="77" spans="1:111" ht="23" customHeight="1">
      <c s="321" r="A77"/>
      <c s="322" r="B77" t="str">
        <v>关税税率</v>
      </c>
      <c s="331" r="C77"/>
      <c s="361" r="D77"/>
      <c s="332" r="E77"/>
      <c s="333" r="F77"/>
      <c s="361" r="G77"/>
      <c s="332" r="H77"/>
      <c s="333" r="I77"/>
      <c s="361" r="J77"/>
      <c s="332" r="K77"/>
      <c s="333" r="L77"/>
      <c s="361" r="M77"/>
      <c s="332" r="N77"/>
      <c s="333" r="O77"/>
      <c s="361" r="P77"/>
      <c s="332" r="Q77"/>
      <c s="334" r="R77"/>
      <c s="332" r="S77"/>
      <c s="332" r="T77"/>
      <c s="324" r="U77"/>
      <c s="361" r="V77"/>
      <c s="332" r="W77"/>
      <c s="333" r="X77"/>
      <c s="361" r="Y77"/>
      <c s="332" r="Z77"/>
      <c s="333" r="AA77"/>
      <c s="361" r="AB77"/>
      <c s="332" r="AC77"/>
      <c s="333" r="AD77"/>
      <c s="361" r="AE77"/>
      <c s="332" r="AF77"/>
      <c s="333" r="AG77"/>
      <c s="361" r="AH77"/>
      <c s="332" r="AI77"/>
      <c s="334" r="AJ77"/>
      <c s="332" r="AK77"/>
      <c s="332" r="AL77"/>
      <c s="324" r="AM77"/>
      <c s="361" r="AN77"/>
      <c s="332" r="AO77"/>
      <c s="333" r="AP77"/>
      <c s="361" r="AQ77"/>
      <c s="332" r="AR77"/>
      <c s="333" r="AS77"/>
      <c s="361" r="AT77"/>
      <c s="332" r="AU77"/>
      <c s="333" r="AV77"/>
      <c s="361" r="AW77"/>
      <c s="332" r="AX77"/>
      <c s="333" r="AY77"/>
      <c s="361" r="AZ77"/>
      <c s="332" r="BA77"/>
      <c s="334" r="BB77"/>
      <c s="332" r="BC77"/>
      <c s="332" r="BD77"/>
      <c s="324" r="BE77"/>
      <c s="361" r="BF77"/>
      <c s="332" r="BG77"/>
      <c s="333" r="BH77"/>
      <c s="361" r="BI77"/>
      <c s="332" r="BJ77"/>
      <c s="333" r="BK77"/>
      <c s="361" r="BL77"/>
      <c s="332" r="BM77"/>
      <c s="333" r="BN77"/>
      <c s="361" r="BO77"/>
      <c s="332" r="BP77"/>
      <c s="333" r="BQ77"/>
      <c s="361" r="BR77"/>
      <c s="332" r="BS77"/>
      <c s="334" r="BT77"/>
      <c s="332" r="BU77"/>
      <c s="332" r="BV77"/>
      <c s="324" r="BW77"/>
      <c s="361" r="BX77"/>
      <c s="332" r="BY77"/>
      <c s="333" r="BZ77"/>
      <c s="361" r="CA77"/>
      <c s="332" r="CB77"/>
      <c s="333" r="CC77"/>
      <c s="361" r="CD77"/>
      <c s="332" r="CE77"/>
      <c s="333" r="CF77"/>
      <c s="361" r="CG77"/>
      <c s="332" r="CH77"/>
      <c s="333" r="CI77"/>
      <c s="361" r="CJ77"/>
      <c s="332" r="CK77"/>
      <c s="334" r="CL77"/>
      <c s="332" r="CM77"/>
      <c s="332" r="CN77"/>
      <c s="325" r="CO77"/>
      <c s="332" r="CP77"/>
      <c s="332" r="CQ77"/>
      <c s="326" r="CR77"/>
      <c s="332" r="CS77"/>
      <c s="332" r="CT77"/>
      <c s="326" r="CU77"/>
      <c s="332" r="CV77"/>
      <c s="332" r="CW77"/>
      <c s="326" r="CX77"/>
      <c s="332" r="CY77"/>
      <c s="332" r="CZ77"/>
      <c s="326" r="DA77"/>
      <c s="332" r="DB77"/>
      <c s="332" r="DC77"/>
      <c s="326" r="DD77"/>
      <c s="332" r="DE77"/>
      <c s="332" r="DF77"/>
      <c s="335" r="DG77"/>
    </row>
    <row r="78" spans="1:111" ht="23" customHeight="1">
      <c s="321" r="A78"/>
      <c s="322" r="B78" t="str">
        <v>质保计提比例（按 MSRP）</v>
      </c>
      <c s="331" r="C78"/>
      <c s="361" r="D78"/>
      <c s="332" r="E78"/>
      <c s="333" r="F78"/>
      <c s="361" r="G78"/>
      <c s="332" r="H78"/>
      <c s="333" r="I78"/>
      <c s="361" r="J78"/>
      <c s="332" r="K78"/>
      <c s="333" r="L78"/>
      <c s="361" r="M78"/>
      <c s="332" r="N78"/>
      <c s="333" r="O78"/>
      <c s="361" r="P78"/>
      <c s="332" r="Q78"/>
      <c s="334" r="R78"/>
      <c s="332" r="S78"/>
      <c s="332" r="T78"/>
      <c s="324" r="U78"/>
      <c s="361" r="V78"/>
      <c s="332" r="W78"/>
      <c s="333" r="X78"/>
      <c s="361" r="Y78"/>
      <c s="332" r="Z78"/>
      <c s="333" r="AA78"/>
      <c s="361" r="AB78"/>
      <c s="332" r="AC78"/>
      <c s="333" r="AD78"/>
      <c s="361" r="AE78"/>
      <c s="332" r="AF78"/>
      <c s="333" r="AG78"/>
      <c s="361" r="AH78"/>
      <c s="332" r="AI78"/>
      <c s="334" r="AJ78"/>
      <c s="332" r="AK78"/>
      <c s="332" r="AL78"/>
      <c s="324" r="AM78"/>
      <c s="361" r="AN78"/>
      <c s="332" r="AO78"/>
      <c s="333" r="AP78"/>
      <c s="361" r="AQ78"/>
      <c s="332" r="AR78"/>
      <c s="333" r="AS78"/>
      <c s="361" r="AT78"/>
      <c s="332" r="AU78"/>
      <c s="333" r="AV78"/>
      <c s="361" r="AW78"/>
      <c s="332" r="AX78"/>
      <c s="333" r="AY78"/>
      <c s="361" r="AZ78"/>
      <c s="332" r="BA78"/>
      <c s="334" r="BB78"/>
      <c s="332" r="BC78"/>
      <c s="332" r="BD78"/>
      <c s="324" r="BE78"/>
      <c s="361" r="BF78"/>
      <c s="332" r="BG78"/>
      <c s="333" r="BH78"/>
      <c s="361" r="BI78"/>
      <c s="332" r="BJ78"/>
      <c s="333" r="BK78"/>
      <c s="361" r="BL78"/>
      <c s="332" r="BM78"/>
      <c s="333" r="BN78"/>
      <c s="361" r="BO78"/>
      <c s="332" r="BP78"/>
      <c s="333" r="BQ78"/>
      <c s="361" r="BR78"/>
      <c s="332" r="BS78"/>
      <c s="334" r="BT78"/>
      <c s="332" r="BU78"/>
      <c s="332" r="BV78"/>
      <c s="324" r="BW78"/>
      <c s="361" r="BX78"/>
      <c s="332" r="BY78"/>
      <c s="333" r="BZ78"/>
      <c s="361" r="CA78"/>
      <c s="332" r="CB78"/>
      <c s="333" r="CC78"/>
      <c s="361" r="CD78"/>
      <c s="332" r="CE78"/>
      <c s="333" r="CF78"/>
      <c s="361" r="CG78"/>
      <c s="332" r="CH78"/>
      <c s="333" r="CI78"/>
      <c s="361" r="CJ78"/>
      <c s="332" r="CK78"/>
      <c s="334" r="CL78"/>
      <c s="332" r="CM78"/>
      <c s="332" r="CN78"/>
      <c s="325" r="CO78"/>
      <c s="332" r="CP78"/>
      <c s="332" r="CQ78"/>
      <c s="326" r="CR78"/>
      <c s="332" r="CS78"/>
      <c s="332" r="CT78"/>
      <c s="326" r="CU78"/>
      <c s="332" r="CV78"/>
      <c s="332" r="CW78"/>
      <c s="326" r="CX78"/>
      <c s="332" r="CY78"/>
      <c s="332" r="CZ78"/>
      <c s="326" r="DA78"/>
      <c s="332" r="DB78"/>
      <c s="332" r="DC78"/>
      <c s="326" r="DD78"/>
      <c s="332" r="DE78"/>
      <c s="332" r="DF78"/>
      <c s="335" r="DG78"/>
    </row>
    <row r="79" spans="1:111" ht="22" customHeight="1">
      <c s="321" r="A79"/>
      <c s="322" r="B79"/>
      <c s="331" r="C79"/>
      <c s="332" r="D79"/>
      <c s="332" r="E79"/>
      <c s="333" r="F79"/>
      <c s="332" r="G79"/>
      <c s="332" r="H79"/>
      <c s="333" r="I79"/>
      <c s="332" r="J79"/>
      <c s="332" r="K79"/>
      <c s="333" r="L79"/>
      <c s="332" r="M79"/>
      <c s="332" r="N79"/>
      <c s="333" r="O79"/>
      <c s="332" r="P79"/>
      <c s="332" r="Q79"/>
      <c s="334" r="R79"/>
      <c s="332" r="S79"/>
      <c s="332" r="T79"/>
      <c s="324" r="U79"/>
      <c s="332" r="V79"/>
      <c s="332" r="W79"/>
      <c s="333" r="X79"/>
      <c s="332" r="Y79"/>
      <c s="332" r="Z79"/>
      <c s="333" r="AA79"/>
      <c s="332" r="AB79"/>
      <c s="332" r="AC79"/>
      <c s="333" r="AD79"/>
      <c s="332" r="AE79"/>
      <c s="332" r="AF79"/>
      <c s="333" r="AG79"/>
      <c s="332" r="AH79"/>
      <c s="332" r="AI79"/>
      <c s="334" r="AJ79"/>
      <c s="332" r="AK79"/>
      <c s="332" r="AL79"/>
      <c s="324" r="AM79"/>
      <c s="332" r="AN79"/>
      <c s="332" r="AO79"/>
      <c s="333" r="AP79"/>
      <c s="332" r="AQ79"/>
      <c s="332" r="AR79"/>
      <c s="333" r="AS79"/>
      <c s="332" r="AT79"/>
      <c s="332" r="AU79"/>
      <c s="333" r="AV79"/>
      <c s="332" r="AW79"/>
      <c s="332" r="AX79"/>
      <c s="333" r="AY79"/>
      <c s="332" r="AZ79"/>
      <c s="332" r="BA79"/>
      <c s="334" r="BB79"/>
      <c s="332" r="BC79"/>
      <c s="332" r="BD79"/>
      <c s="324" r="BE79"/>
      <c s="332" r="BF79"/>
      <c s="332" r="BG79"/>
      <c s="333" r="BH79"/>
      <c s="332" r="BI79"/>
      <c s="332" r="BJ79"/>
      <c s="333" r="BK79"/>
      <c s="332" r="BL79"/>
      <c s="332" r="BM79"/>
      <c s="333" r="BN79"/>
      <c s="332" r="BO79"/>
      <c s="332" r="BP79"/>
      <c s="333" r="BQ79"/>
      <c s="332" r="BR79"/>
      <c s="332" r="BS79"/>
      <c s="334" r="BT79"/>
      <c s="332" r="BU79"/>
      <c s="332" r="BV79"/>
      <c s="324" r="BW79"/>
      <c s="332" r="BX79"/>
      <c s="332" r="BY79"/>
      <c s="333" r="BZ79"/>
      <c s="332" r="CA79"/>
      <c s="332" r="CB79"/>
      <c s="333" r="CC79"/>
      <c s="332" r="CD79"/>
      <c s="332" r="CE79"/>
      <c s="333" r="CF79"/>
      <c s="332" r="CG79"/>
      <c s="332" r="CH79"/>
      <c s="333" r="CI79"/>
      <c s="332" r="CJ79"/>
      <c s="332" r="CK79"/>
      <c s="334" r="CL79"/>
      <c s="332" r="CM79"/>
      <c s="332" r="CN79"/>
      <c s="325" r="CO79"/>
      <c s="332" r="CP79"/>
      <c s="332" r="CQ79"/>
      <c s="326" r="CR79"/>
      <c s="332" r="CS79"/>
      <c s="332" r="CT79"/>
      <c s="326" r="CU79"/>
      <c s="332" r="CV79"/>
      <c s="332" r="CW79"/>
      <c s="326" r="CX79"/>
      <c s="332" r="CY79"/>
      <c s="332" r="CZ79"/>
      <c s="326" r="DA79"/>
      <c s="332" r="DB79"/>
      <c s="332" r="DC79"/>
      <c s="326" r="DD79"/>
      <c s="332" r="DE79"/>
      <c s="332" r="DF79"/>
      <c s="335" r="DG79"/>
    </row>
    <row r="80" spans="1:111" ht="22" customHeight="1">
      <c s="321" r="A80"/>
      <c s="343" r="B80"/>
      <c s="331" r="C80"/>
      <c s="332" r="D80"/>
      <c s="332" r="E80"/>
      <c s="333" r="F80"/>
      <c s="332" r="G80"/>
      <c s="332" r="H80"/>
      <c s="333" r="I80"/>
      <c s="332" r="J80"/>
      <c s="332" r="K80"/>
      <c s="333" r="L80"/>
      <c s="332" r="M80"/>
      <c s="332" r="N80"/>
      <c s="333" r="O80"/>
      <c s="332" r="P80"/>
      <c s="332" r="Q80"/>
      <c s="334" r="R80"/>
      <c s="332" r="S80"/>
      <c s="332" r="T80"/>
      <c s="324" r="U80"/>
      <c s="332" r="V80"/>
      <c s="332" r="W80"/>
      <c s="333" r="X80"/>
      <c s="332" r="Y80"/>
      <c s="332" r="Z80"/>
      <c s="333" r="AA80"/>
      <c s="332" r="AB80"/>
      <c s="332" r="AC80"/>
      <c s="333" r="AD80"/>
      <c s="332" r="AE80"/>
      <c s="332" r="AF80"/>
      <c s="333" r="AG80"/>
      <c s="332" r="AH80"/>
      <c s="332" r="AI80"/>
      <c s="334" r="AJ80"/>
      <c s="332" r="AK80"/>
      <c s="332" r="AL80"/>
      <c s="324" r="AM80"/>
      <c s="332" r="AN80"/>
      <c s="332" r="AO80"/>
      <c s="333" r="AP80"/>
      <c s="332" r="AQ80"/>
      <c s="332" r="AR80"/>
      <c s="333" r="AS80"/>
      <c s="332" r="AT80"/>
      <c s="332" r="AU80"/>
      <c s="333" r="AV80"/>
      <c s="332" r="AW80"/>
      <c s="332" r="AX80"/>
      <c s="333" r="AY80"/>
      <c s="332" r="AZ80"/>
      <c s="332" r="BA80"/>
      <c s="334" r="BB80"/>
      <c s="332" r="BC80"/>
      <c s="332" r="BD80"/>
      <c s="324" r="BE80"/>
      <c s="332" r="BF80"/>
      <c s="332" r="BG80"/>
      <c s="333" r="BH80"/>
      <c s="332" r="BI80"/>
      <c s="332" r="BJ80"/>
      <c s="333" r="BK80"/>
      <c s="332" r="BL80"/>
      <c s="332" r="BM80"/>
      <c s="333" r="BN80"/>
      <c s="332" r="BO80"/>
      <c s="332" r="BP80"/>
      <c s="333" r="BQ80"/>
      <c s="332" r="BR80"/>
      <c s="332" r="BS80"/>
      <c s="334" r="BT80"/>
      <c s="332" r="BU80"/>
      <c s="332" r="BV80"/>
      <c s="324" r="BW80"/>
      <c s="332" r="BX80"/>
      <c s="332" r="BY80"/>
      <c s="333" r="BZ80"/>
      <c s="332" r="CA80"/>
      <c s="332" r="CB80"/>
      <c s="333" r="CC80"/>
      <c s="332" r="CD80"/>
      <c s="332" r="CE80"/>
      <c s="333" r="CF80"/>
      <c s="332" r="CG80"/>
      <c s="332" r="CH80"/>
      <c s="333" r="CI80"/>
      <c s="332" r="CJ80"/>
      <c s="332" r="CK80"/>
      <c s="334" r="CL80"/>
      <c s="332" r="CM80"/>
      <c s="332" r="CN80"/>
      <c s="325" r="CO80"/>
      <c s="332" r="CP80"/>
      <c s="332" r="CQ80"/>
      <c s="326" r="CR80"/>
      <c s="332" r="CS80"/>
      <c s="332" r="CT80"/>
      <c s="326" r="CU80"/>
      <c s="332" r="CV80"/>
      <c s="332" r="CW80"/>
      <c s="326" r="CX80"/>
      <c s="332" r="CY80"/>
      <c s="332" r="CZ80"/>
      <c s="326" r="DA80"/>
      <c s="332" r="DB80"/>
      <c s="332" r="DC80"/>
      <c s="326" r="DD80"/>
      <c s="332" r="DE80"/>
      <c s="332" r="DF80"/>
      <c s="335" r="DG80"/>
    </row>
    <row r="81" spans="1:111" ht="24" customHeight="1">
      <c s="321" r="A81"/>
      <c s="322" r="B81" t="str">
        <v>填写方式</v>
      </c>
      <c s="331" r="C81"/>
      <c s="332" r="D81" t="str">
        <v>填写各年度车型“单车（元）”列。%收入、Average及全生命周期沿用原表展示口径，上传时忽略。</v>
      </c>
      <c s="332" r="E81"/>
      <c s="333" r="F81"/>
      <c s="332" r="G81"/>
      <c s="332" r="H81"/>
      <c s="333" r="I81"/>
      <c s="332" r="J81"/>
      <c s="332" r="K81"/>
      <c s="333" r="L81"/>
      <c s="332" r="M81"/>
      <c s="332" r="N81"/>
      <c s="333" r="O81"/>
      <c s="332" r="P81"/>
      <c s="332" r="Q81"/>
      <c s="334" r="R81"/>
      <c s="332" r="S81"/>
      <c s="332" r="T81"/>
      <c s="324" r="U81"/>
      <c s="332" r="V81"/>
      <c s="332" r="W81"/>
      <c s="333" r="X81"/>
      <c s="332" r="Y81"/>
      <c s="332" r="Z81"/>
      <c s="333" r="AA81"/>
      <c s="332" r="AB81"/>
      <c s="332" r="AC81"/>
      <c s="333" r="AD81"/>
      <c s="332" r="AE81"/>
      <c s="332" r="AF81"/>
      <c s="333" r="AG81"/>
      <c s="332" r="AH81"/>
      <c s="332" r="AI81"/>
      <c s="334" r="AJ81"/>
      <c s="332" r="AK81"/>
      <c s="332" r="AL81"/>
      <c s="324" r="AM81"/>
      <c s="332" r="AN81"/>
      <c s="332" r="AO81"/>
      <c s="333" r="AP81"/>
      <c s="332" r="AQ81"/>
      <c s="332" r="AR81"/>
      <c s="333" r="AS81"/>
      <c s="332" r="AT81"/>
      <c s="332" r="AU81"/>
      <c s="333" r="AV81"/>
      <c s="332" r="AW81"/>
      <c s="332" r="AX81"/>
      <c s="333" r="AY81"/>
      <c s="332" r="AZ81"/>
      <c s="332" r="BA81"/>
      <c s="334" r="BB81"/>
      <c s="332" r="BC81"/>
      <c s="332" r="BD81"/>
      <c s="324" r="BE81"/>
      <c s="332" r="BF81"/>
      <c s="332" r="BG81"/>
      <c s="333" r="BH81"/>
      <c s="332" r="BI81"/>
      <c s="332" r="BJ81"/>
      <c s="333" r="BK81"/>
      <c s="332" r="BL81"/>
      <c s="332" r="BM81"/>
      <c s="333" r="BN81"/>
      <c s="332" r="BO81"/>
      <c s="332" r="BP81"/>
      <c s="333" r="BQ81"/>
      <c s="332" r="BR81"/>
      <c s="332" r="BS81"/>
      <c s="334" r="BT81"/>
      <c s="332" r="BU81"/>
      <c s="332" r="BV81"/>
      <c s="324" r="BW81"/>
      <c s="332" r="BX81"/>
      <c s="332" r="BY81"/>
      <c s="333" r="BZ81"/>
      <c s="332" r="CA81"/>
      <c s="332" r="CB81"/>
      <c s="333" r="CC81"/>
      <c s="332" r="CD81"/>
      <c s="332" r="CE81"/>
      <c s="333" r="CF81"/>
      <c s="332" r="CG81"/>
      <c s="332" r="CH81"/>
      <c s="333" r="CI81"/>
      <c s="332" r="CJ81"/>
      <c s="332" r="CK81"/>
      <c s="334" r="CL81"/>
      <c s="332" r="CM81"/>
      <c s="332" r="CN81"/>
      <c s="325" r="CO81"/>
      <c s="332" r="CP81"/>
      <c s="332" r="CQ81"/>
      <c s="326" r="CR81"/>
      <c s="332" r="CS81"/>
      <c s="332" r="CT81"/>
      <c s="326" r="CU81"/>
      <c s="332" r="CV81"/>
      <c s="332" r="CW81"/>
      <c s="326" r="CX81"/>
      <c s="332" r="CY81"/>
      <c s="332" r="CZ81"/>
      <c s="326" r="DA81"/>
      <c s="332" r="DB81"/>
      <c s="332" r="DC81"/>
      <c s="326" r="DD81"/>
      <c s="332" r="DE81"/>
      <c s="332" r="DF81"/>
      <c s="335" r="DG81"/>
    </row>
    <row r="82" spans="1:111" ht="24" customHeight="1">
      <c s="321" r="A82"/>
      <c s="322" r="B82" t="str">
        <v>单位与正负</v>
      </c>
      <c s="331" r="C82"/>
      <c s="332" r="D82" t="str">
        <v>销量填整数台数，MSRP填正数，成本及费用填负数元/台。原表数字格式仅影响显示，实际数值精度保留。</v>
      </c>
      <c s="332" r="E82"/>
      <c s="333" r="F82"/>
      <c s="332" r="G82"/>
      <c s="332" r="H82"/>
      <c s="333" r="I82"/>
      <c s="332" r="J82"/>
      <c s="332" r="K82"/>
      <c s="333" r="L82"/>
      <c s="332" r="M82"/>
      <c s="332" r="N82"/>
      <c s="333" r="O82"/>
      <c s="332" r="P82"/>
      <c s="332" r="Q82"/>
      <c s="334" r="R82"/>
      <c s="332" r="S82"/>
      <c s="332" r="T82"/>
      <c s="324" r="U82"/>
      <c s="332" r="V82"/>
      <c s="332" r="W82"/>
      <c s="333" r="X82"/>
      <c s="332" r="Y82"/>
      <c s="332" r="Z82"/>
      <c s="333" r="AA82"/>
      <c s="332" r="AB82"/>
      <c s="332" r="AC82"/>
      <c s="333" r="AD82"/>
      <c s="332" r="AE82"/>
      <c s="332" r="AF82"/>
      <c s="333" r="AG82"/>
      <c s="332" r="AH82"/>
      <c s="332" r="AI82"/>
      <c s="334" r="AJ82"/>
      <c s="332" r="AK82"/>
      <c s="332" r="AL82"/>
      <c s="324" r="AM82"/>
      <c s="332" r="AN82"/>
      <c s="332" r="AO82"/>
      <c s="333" r="AP82"/>
      <c s="332" r="AQ82"/>
      <c s="332" r="AR82"/>
      <c s="333" r="AS82"/>
      <c s="332" r="AT82"/>
      <c s="332" r="AU82"/>
      <c s="333" r="AV82"/>
      <c s="332" r="AW82"/>
      <c s="332" r="AX82"/>
      <c s="333" r="AY82"/>
      <c s="332" r="AZ82"/>
      <c s="332" r="BA82"/>
      <c s="334" r="BB82"/>
      <c s="332" r="BC82"/>
      <c s="332" r="BD82"/>
      <c s="324" r="BE82"/>
      <c s="332" r="BF82"/>
      <c s="332" r="BG82"/>
      <c s="333" r="BH82"/>
      <c s="332" r="BI82"/>
      <c s="332" r="BJ82"/>
      <c s="333" r="BK82"/>
      <c s="332" r="BL82"/>
      <c s="332" r="BM82"/>
      <c s="333" r="BN82"/>
      <c s="332" r="BO82"/>
      <c s="332" r="BP82"/>
      <c s="333" r="BQ82"/>
      <c s="332" r="BR82"/>
      <c s="332" r="BS82"/>
      <c s="334" r="BT82"/>
      <c s="332" r="BU82"/>
      <c s="332" r="BV82"/>
      <c s="324" r="BW82"/>
      <c s="332" r="BX82"/>
      <c s="332" r="BY82"/>
      <c s="333" r="BZ82"/>
      <c s="332" r="CA82"/>
      <c s="332" r="CB82"/>
      <c s="333" r="CC82"/>
      <c s="332" r="CD82"/>
      <c s="332" r="CE82"/>
      <c s="333" r="CF82"/>
      <c s="332" r="CG82"/>
      <c s="332" r="CH82"/>
      <c s="333" r="CI82"/>
      <c s="332" r="CJ82"/>
      <c s="332" r="CK82"/>
      <c s="334" r="CL82"/>
      <c s="332" r="CM82"/>
      <c s="332" r="CN82"/>
      <c s="325" r="CO82"/>
      <c s="332" r="CP82"/>
      <c s="332" r="CQ82"/>
      <c s="326" r="CR82"/>
      <c s="332" r="CS82"/>
      <c s="332" r="CT82"/>
      <c s="326" r="CU82"/>
      <c s="332" r="CV82"/>
      <c s="332" r="CW82"/>
      <c s="326" r="CX82"/>
      <c s="332" r="CY82"/>
      <c s="332" r="CZ82"/>
      <c s="326" r="DA82"/>
      <c s="332" r="DB82"/>
      <c s="332" r="DC82"/>
      <c s="326" r="DD82"/>
      <c s="332" r="DE82"/>
      <c s="332" r="DF82"/>
      <c s="335" r="DG82"/>
    </row>
    <row r="83" spans="1:111" ht="24" customHeight="1">
      <c s="321" r="A83"/>
      <c s="322" r="B83" t="str">
        <v>固定费用</v>
      </c>
      <c s="331" r="C83"/>
      <c s="332" r="D83" t="str">
        <v>固定制造费用、研发分摊、固定销交服及集团分摊，填已经分摊到单车的金额；本表不随销量自动重新分摊。</v>
      </c>
      <c s="332" r="E83"/>
      <c s="333" r="F83"/>
      <c s="332" r="G83"/>
      <c s="332" r="H83"/>
      <c s="333" r="I83"/>
      <c s="332" r="J83"/>
      <c s="332" r="K83"/>
      <c s="333" r="L83"/>
      <c s="332" r="M83"/>
      <c s="332" r="N83"/>
      <c s="333" r="O83"/>
      <c s="332" r="P83"/>
      <c s="332" r="Q83"/>
      <c s="334" r="R83"/>
      <c s="332" r="S83"/>
      <c s="332" r="T83"/>
      <c s="324" r="U83"/>
      <c s="332" r="V83"/>
      <c s="332" r="W83"/>
      <c s="333" r="X83"/>
      <c s="332" r="Y83"/>
      <c s="332" r="Z83"/>
      <c s="333" r="AA83"/>
      <c s="332" r="AB83"/>
      <c s="332" r="AC83"/>
      <c s="333" r="AD83"/>
      <c s="332" r="AE83"/>
      <c s="332" r="AF83"/>
      <c s="333" r="AG83"/>
      <c s="332" r="AH83"/>
      <c s="332" r="AI83"/>
      <c s="334" r="AJ83"/>
      <c s="332" r="AK83"/>
      <c s="332" r="AL83"/>
      <c s="324" r="AM83"/>
      <c s="332" r="AN83"/>
      <c s="332" r="AO83"/>
      <c s="333" r="AP83"/>
      <c s="332" r="AQ83"/>
      <c s="332" r="AR83"/>
      <c s="333" r="AS83"/>
      <c s="332" r="AT83"/>
      <c s="332" r="AU83"/>
      <c s="333" r="AV83"/>
      <c s="332" r="AW83"/>
      <c s="332" r="AX83"/>
      <c s="333" r="AY83"/>
      <c s="332" r="AZ83"/>
      <c s="332" r="BA83"/>
      <c s="334" r="BB83"/>
      <c s="332" r="BC83"/>
      <c s="332" r="BD83"/>
      <c s="324" r="BE83"/>
      <c s="332" r="BF83"/>
      <c s="332" r="BG83"/>
      <c s="333" r="BH83"/>
      <c s="332" r="BI83"/>
      <c s="332" r="BJ83"/>
      <c s="333" r="BK83"/>
      <c s="332" r="BL83"/>
      <c s="332" r="BM83"/>
      <c s="333" r="BN83"/>
      <c s="332" r="BO83"/>
      <c s="332" r="BP83"/>
      <c s="333" r="BQ83"/>
      <c s="332" r="BR83"/>
      <c s="332" r="BS83"/>
      <c s="334" r="BT83"/>
      <c s="332" r="BU83"/>
      <c s="332" r="BV83"/>
      <c s="324" r="BW83"/>
      <c s="332" r="BX83"/>
      <c s="332" r="BY83"/>
      <c s="333" r="BZ83"/>
      <c s="332" r="CA83"/>
      <c s="332" r="CB83"/>
      <c s="333" r="CC83"/>
      <c s="332" r="CD83"/>
      <c s="332" r="CE83"/>
      <c s="333" r="CF83"/>
      <c s="332" r="CG83"/>
      <c s="332" r="CH83"/>
      <c s="333" r="CI83"/>
      <c s="332" r="CJ83"/>
      <c s="332" r="CK83"/>
      <c s="334" r="CL83"/>
      <c s="332" r="CM83"/>
      <c s="332" r="CN83"/>
      <c s="325" r="CO83"/>
      <c s="332" r="CP83"/>
      <c s="332" r="CQ83"/>
      <c s="326" r="CR83"/>
      <c s="332" r="CS83"/>
      <c s="332" r="CT83"/>
      <c s="326" r="CU83"/>
      <c s="332" r="CV83"/>
      <c s="332" r="CW83"/>
      <c s="326" r="CX83"/>
      <c s="332" r="CY83"/>
      <c s="332" r="CZ83"/>
      <c s="326" r="DA83"/>
      <c s="332" r="DB83"/>
      <c s="332" r="DC83"/>
      <c s="326" r="DD83"/>
      <c s="332" r="DE83"/>
      <c s="332" r="DF83"/>
      <c s="335" r="DG83"/>
    </row>
    <row r="84" spans="1:111" ht="24" customHeight="1">
      <c s="321" r="A84"/>
      <c s="322" r="B84" t="str">
        <v>汇总顺序</v>
      </c>
      <c s="331" r="C84"/>
      <c s="332" r="D84" t="str">
        <v>收入抵减逐项相加；MSRP加VAT及抵减得到净收入，净收入加成本得到毛利，毛利加费用得到EBIT。集团分摊计入费用。</v>
      </c>
      <c s="332" r="E84"/>
      <c s="333" r="F84"/>
      <c s="332" r="G84"/>
      <c s="332" r="H84"/>
      <c s="333" r="I84"/>
      <c s="332" r="J84"/>
      <c s="332" r="K84"/>
      <c s="333" r="L84"/>
      <c s="332" r="M84"/>
      <c s="332" r="N84"/>
      <c s="333" r="O84"/>
      <c s="332" r="P84"/>
      <c s="332" r="Q84"/>
      <c s="334" r="R84"/>
      <c s="332" r="S84"/>
      <c s="332" r="T84"/>
      <c s="324" r="U84"/>
      <c s="332" r="V84"/>
      <c s="332" r="W84"/>
      <c s="333" r="X84"/>
      <c s="332" r="Y84"/>
      <c s="332" r="Z84"/>
      <c s="333" r="AA84"/>
      <c s="332" r="AB84"/>
      <c s="332" r="AC84"/>
      <c s="333" r="AD84"/>
      <c s="332" r="AE84"/>
      <c s="332" r="AF84"/>
      <c s="333" r="AG84"/>
      <c s="332" r="AH84"/>
      <c s="332" r="AI84"/>
      <c s="334" r="AJ84"/>
      <c s="332" r="AK84"/>
      <c s="332" r="AL84"/>
      <c s="324" r="AM84"/>
      <c s="332" r="AN84"/>
      <c s="332" r="AO84"/>
      <c s="333" r="AP84"/>
      <c s="332" r="AQ84"/>
      <c s="332" r="AR84"/>
      <c s="333" r="AS84"/>
      <c s="332" r="AT84"/>
      <c s="332" r="AU84"/>
      <c s="333" r="AV84"/>
      <c s="332" r="AW84"/>
      <c s="332" r="AX84"/>
      <c s="333" r="AY84"/>
      <c s="332" r="AZ84"/>
      <c s="332" r="BA84"/>
      <c s="334" r="BB84"/>
      <c s="332" r="BC84"/>
      <c s="332" r="BD84"/>
      <c s="324" r="BE84"/>
      <c s="332" r="BF84"/>
      <c s="332" r="BG84"/>
      <c s="333" r="BH84"/>
      <c s="332" r="BI84"/>
      <c s="332" r="BJ84"/>
      <c s="333" r="BK84"/>
      <c s="332" r="BL84"/>
      <c s="332" r="BM84"/>
      <c s="333" r="BN84"/>
      <c s="332" r="BO84"/>
      <c s="332" r="BP84"/>
      <c s="333" r="BQ84"/>
      <c s="332" r="BR84"/>
      <c s="332" r="BS84"/>
      <c s="334" r="BT84"/>
      <c s="332" r="BU84"/>
      <c s="332" r="BV84"/>
      <c s="324" r="BW84"/>
      <c s="332" r="BX84"/>
      <c s="332" r="BY84"/>
      <c s="333" r="BZ84"/>
      <c s="332" r="CA84"/>
      <c s="332" r="CB84"/>
      <c s="333" r="CC84"/>
      <c s="332" r="CD84"/>
      <c s="332" r="CE84"/>
      <c s="333" r="CF84"/>
      <c s="332" r="CG84"/>
      <c s="332" r="CH84"/>
      <c s="333" r="CI84"/>
      <c s="332" r="CJ84"/>
      <c s="332" r="CK84"/>
      <c s="334" r="CL84"/>
      <c s="332" r="CM84"/>
      <c s="332" r="CN84"/>
      <c s="325" r="CO84"/>
      <c s="332" r="CP84"/>
      <c s="332" r="CQ84"/>
      <c s="326" r="CR84"/>
      <c s="332" r="CS84"/>
      <c s="332" r="CT84"/>
      <c s="326" r="CU84"/>
      <c s="332" r="CV84"/>
      <c s="332" r="CW84"/>
      <c s="326" r="CX84"/>
      <c s="332" r="CY84"/>
      <c s="332" r="CZ84"/>
      <c s="326" r="DA84"/>
      <c s="332" r="DB84"/>
      <c s="332" r="DC84"/>
      <c s="326" r="DD84"/>
      <c s="332" r="DE84"/>
      <c s="332" r="DF84"/>
      <c s="335" r="DG84"/>
    </row>
    <row r="85" spans="1:111" ht="24" customHeight="1">
      <c s="321" r="A85"/>
      <c s="322" r="B85" t="str">
        <v>BOM与调整</v>
      </c>
      <c s="331" r="C85"/>
      <c s="332" r="D85" t="str">
        <v>BOM成本总额＝基准BOM成本＋赠送配置＋供应商模具分摊。三个子项分别填负数元/台，由总额计入成本总额。</v>
      </c>
      <c s="332" r="E85"/>
      <c s="333" r="F85"/>
      <c s="332" r="G85"/>
      <c s="332" r="H85"/>
      <c s="333" r="I85"/>
      <c s="332" r="J85"/>
      <c s="332" r="K85"/>
      <c s="333" r="L85"/>
      <c s="332" r="M85"/>
      <c s="332" r="N85"/>
      <c s="333" r="O85"/>
      <c s="332" r="P85"/>
      <c s="332" r="Q85"/>
      <c s="334" r="R85"/>
      <c s="332" r="S85"/>
      <c s="332" r="T85"/>
      <c s="324" r="U85"/>
      <c s="332" r="V85"/>
      <c s="332" r="W85"/>
      <c s="333" r="X85"/>
      <c s="332" r="Y85"/>
      <c s="332" r="Z85"/>
      <c s="333" r="AA85"/>
      <c s="332" r="AB85"/>
      <c s="332" r="AC85"/>
      <c s="333" r="AD85"/>
      <c s="332" r="AE85"/>
      <c s="332" r="AF85"/>
      <c s="333" r="AG85"/>
      <c s="332" r="AH85"/>
      <c s="332" r="AI85"/>
      <c s="334" r="AJ85"/>
      <c s="332" r="AK85"/>
      <c s="332" r="AL85"/>
      <c s="324" r="AM85"/>
      <c s="332" r="AN85"/>
      <c s="332" r="AO85"/>
      <c s="333" r="AP85"/>
      <c s="332" r="AQ85"/>
      <c s="332" r="AR85"/>
      <c s="333" r="AS85"/>
      <c s="332" r="AT85"/>
      <c s="332" r="AU85"/>
      <c s="333" r="AV85"/>
      <c s="332" r="AW85"/>
      <c s="332" r="AX85"/>
      <c s="333" r="AY85"/>
      <c s="332" r="AZ85"/>
      <c s="332" r="BA85"/>
      <c s="334" r="BB85"/>
      <c s="332" r="BC85"/>
      <c s="332" r="BD85"/>
      <c s="324" r="BE85"/>
      <c s="332" r="BF85"/>
      <c s="332" r="BG85"/>
      <c s="333" r="BH85"/>
      <c s="332" r="BI85"/>
      <c s="332" r="BJ85"/>
      <c s="333" r="BK85"/>
      <c s="332" r="BL85"/>
      <c s="332" r="BM85"/>
      <c s="333" r="BN85"/>
      <c s="332" r="BO85"/>
      <c s="332" r="BP85"/>
      <c s="333" r="BQ85"/>
      <c s="332" r="BR85"/>
      <c s="332" r="BS85"/>
      <c s="334" r="BT85"/>
      <c s="332" r="BU85"/>
      <c s="332" r="BV85"/>
      <c s="324" r="BW85"/>
      <c s="332" r="BX85"/>
      <c s="332" r="BY85"/>
      <c s="333" r="BZ85"/>
      <c s="332" r="CA85"/>
      <c s="332" r="CB85"/>
      <c s="333" r="CC85"/>
      <c s="332" r="CD85"/>
      <c s="332" r="CE85"/>
      <c s="333" r="CF85"/>
      <c s="332" r="CG85"/>
      <c s="332" r="CH85"/>
      <c s="333" r="CI85"/>
      <c s="332" r="CJ85"/>
      <c s="332" r="CK85"/>
      <c s="334" r="CL85"/>
      <c s="332" r="CM85"/>
      <c s="332" r="CN85"/>
      <c s="325" r="CO85"/>
      <c s="332" r="CP85"/>
      <c s="332" r="CQ85"/>
      <c s="326" r="CR85"/>
      <c s="332" r="CS85"/>
      <c s="332" r="CT85"/>
      <c s="326" r="CU85"/>
      <c s="332" r="CV85"/>
      <c s="332" r="CW85"/>
      <c s="326" r="CX85"/>
      <c s="332" r="CY85"/>
      <c s="332" r="CZ85"/>
      <c s="326" r="DA85"/>
      <c s="332" r="DB85"/>
      <c s="332" r="DC85"/>
      <c s="326" r="DD85"/>
      <c s="332" r="DE85"/>
      <c s="332" r="DF85"/>
      <c s="335" r="DG85"/>
    </row>
    <row r="86" spans="1:111" ht="24" customHeight="1">
      <c s="321" r="A86"/>
      <c s="322" r="B86" t="str">
        <v>税费口径</v>
      </c>
      <c s="331" r="C86"/>
      <c s="332" r="D86" t="str">
        <v>VAT按含税MSRP价内剔除；消费税按净收入计提；关税按所填计税基数乘税率，税率为0时可不填基数。</v>
      </c>
      <c s="332" r="E86"/>
      <c s="333" r="F86"/>
      <c s="332" r="G86"/>
      <c s="332" r="H86"/>
      <c s="333" r="I86"/>
      <c s="332" r="J86"/>
      <c s="332" r="K86"/>
      <c s="333" r="L86"/>
      <c s="332" r="M86"/>
      <c s="332" r="N86"/>
      <c s="333" r="O86"/>
      <c s="332" r="P86"/>
      <c s="332" r="Q86"/>
      <c s="334" r="R86"/>
      <c s="332" r="S86"/>
      <c s="332" r="T86"/>
      <c s="324" r="U86"/>
      <c s="332" r="V86"/>
      <c s="332" r="W86"/>
      <c s="333" r="X86"/>
      <c s="332" r="Y86"/>
      <c s="332" r="Z86"/>
      <c s="333" r="AA86"/>
      <c s="332" r="AB86"/>
      <c s="332" r="AC86"/>
      <c s="333" r="AD86"/>
      <c s="332" r="AE86"/>
      <c s="332" r="AF86"/>
      <c s="333" r="AG86"/>
      <c s="332" r="AH86"/>
      <c s="332" r="AI86"/>
      <c s="334" r="AJ86"/>
      <c s="332" r="AK86"/>
      <c s="332" r="AL86"/>
      <c s="324" r="AM86"/>
      <c s="332" r="AN86"/>
      <c s="332" r="AO86"/>
      <c s="333" r="AP86"/>
      <c s="332" r="AQ86"/>
      <c s="332" r="AR86"/>
      <c s="333" r="AS86"/>
      <c s="332" r="AT86"/>
      <c s="332" r="AU86"/>
      <c s="333" r="AV86"/>
      <c s="332" r="AW86"/>
      <c s="332" r="AX86"/>
      <c s="333" r="AY86"/>
      <c s="332" r="AZ86"/>
      <c s="332" r="BA86"/>
      <c s="334" r="BB86"/>
      <c s="332" r="BC86"/>
      <c s="332" r="BD86"/>
      <c s="324" r="BE86"/>
      <c s="332" r="BF86"/>
      <c s="332" r="BG86"/>
      <c s="333" r="BH86"/>
      <c s="332" r="BI86"/>
      <c s="332" r="BJ86"/>
      <c s="333" r="BK86"/>
      <c s="332" r="BL86"/>
      <c s="332" r="BM86"/>
      <c s="333" r="BN86"/>
      <c s="332" r="BO86"/>
      <c s="332" r="BP86"/>
      <c s="333" r="BQ86"/>
      <c s="332" r="BR86"/>
      <c s="332" r="BS86"/>
      <c s="334" r="BT86"/>
      <c s="332" r="BU86"/>
      <c s="332" r="BV86"/>
      <c s="324" r="BW86"/>
      <c s="332" r="BX86"/>
      <c s="332" r="BY86"/>
      <c s="333" r="BZ86"/>
      <c s="332" r="CA86"/>
      <c s="332" r="CB86"/>
      <c s="333" r="CC86"/>
      <c s="332" r="CD86"/>
      <c s="332" r="CE86"/>
      <c s="333" r="CF86"/>
      <c s="332" r="CG86"/>
      <c s="332" r="CH86"/>
      <c s="333" r="CI86"/>
      <c s="332" r="CJ86"/>
      <c s="332" r="CK86"/>
      <c s="334" r="CL86"/>
      <c s="332" r="CM86"/>
      <c s="332" r="CN86"/>
      <c s="325" r="CO86"/>
      <c s="332" r="CP86"/>
      <c s="332" r="CQ86"/>
      <c s="326" r="CR86"/>
      <c s="332" r="CS86"/>
      <c s="332" r="CT86"/>
      <c s="326" r="CU86"/>
      <c s="332" r="CV86"/>
      <c s="332" r="CW86"/>
      <c s="326" r="CX86"/>
      <c s="332" r="CY86"/>
      <c s="332" r="CZ86"/>
      <c s="326" r="DA86"/>
      <c s="332" r="DB86"/>
      <c s="332" r="DC86"/>
      <c s="326" r="DD86"/>
      <c s="332" r="DE86"/>
      <c s="332" r="DF86"/>
      <c s="335" r="DG86"/>
    </row>
    <row r="87" spans="1:111" ht="24" customHeight="1">
      <c s="321" r="A87"/>
      <c s="322" r="B87" t="str">
        <v>附加与质保</v>
      </c>
      <c s="331" r="C87"/>
      <c s="332" r="D87" t="str">
        <v>城建附加沿用原测算模型，以BOM乘增值税率估算进项抵扣，增值税净额不低于0，再加消费税计算附加；质保按MSRP计提。</v>
      </c>
      <c s="332" r="E87"/>
      <c s="333" r="F87"/>
      <c s="332" r="G87"/>
      <c s="332" r="H87"/>
      <c s="333" r="I87"/>
      <c s="332" r="J87"/>
      <c s="332" r="K87"/>
      <c s="333" r="L87"/>
      <c s="332" r="M87"/>
      <c s="332" r="N87"/>
      <c s="333" r="O87"/>
      <c s="332" r="P87"/>
      <c s="332" r="Q87"/>
      <c s="334" r="R87"/>
      <c s="332" r="S87"/>
      <c s="332" r="T87"/>
      <c s="324" r="U87"/>
      <c s="332" r="V87"/>
      <c s="332" r="W87"/>
      <c s="333" r="X87"/>
      <c s="332" r="Y87"/>
      <c s="332" r="Z87"/>
      <c s="333" r="AA87"/>
      <c s="332" r="AB87"/>
      <c s="332" r="AC87"/>
      <c s="333" r="AD87"/>
      <c s="332" r="AE87"/>
      <c s="332" r="AF87"/>
      <c s="333" r="AG87"/>
      <c s="332" r="AH87"/>
      <c s="332" r="AI87"/>
      <c s="334" r="AJ87"/>
      <c s="332" r="AK87"/>
      <c s="332" r="AL87"/>
      <c s="324" r="AM87"/>
      <c s="332" r="AN87"/>
      <c s="332" r="AO87"/>
      <c s="333" r="AP87"/>
      <c s="332" r="AQ87"/>
      <c s="332" r="AR87"/>
      <c s="333" r="AS87"/>
      <c s="332" r="AT87"/>
      <c s="332" r="AU87"/>
      <c s="333" r="AV87"/>
      <c s="332" r="AW87"/>
      <c s="332" r="AX87"/>
      <c s="333" r="AY87"/>
      <c s="332" r="AZ87"/>
      <c s="332" r="BA87"/>
      <c s="334" r="BB87"/>
      <c s="332" r="BC87"/>
      <c s="332" r="BD87"/>
      <c s="324" r="BE87"/>
      <c s="332" r="BF87"/>
      <c s="332" r="BG87"/>
      <c s="333" r="BH87"/>
      <c s="332" r="BI87"/>
      <c s="332" r="BJ87"/>
      <c s="333" r="BK87"/>
      <c s="332" r="BL87"/>
      <c s="332" r="BM87"/>
      <c s="333" r="BN87"/>
      <c s="332" r="BO87"/>
      <c s="332" r="BP87"/>
      <c s="333" r="BQ87"/>
      <c s="332" r="BR87"/>
      <c s="332" r="BS87"/>
      <c s="334" r="BT87"/>
      <c s="332" r="BU87"/>
      <c s="332" r="BV87"/>
      <c s="324" r="BW87"/>
      <c s="332" r="BX87"/>
      <c s="332" r="BY87"/>
      <c s="333" r="BZ87"/>
      <c s="332" r="CA87"/>
      <c s="332" r="CB87"/>
      <c s="333" r="CC87"/>
      <c s="332" r="CD87"/>
      <c s="332" r="CE87"/>
      <c s="333" r="CF87"/>
      <c s="332" r="CG87"/>
      <c s="332" r="CH87"/>
      <c s="333" r="CI87"/>
      <c s="332" r="CJ87"/>
      <c s="332" r="CK87"/>
      <c s="334" r="CL87"/>
      <c s="332" r="CM87"/>
      <c s="332" r="CN87"/>
      <c s="325" r="CO87"/>
      <c s="332" r="CP87"/>
      <c s="332" r="CQ87"/>
      <c s="326" r="CR87"/>
      <c s="332" r="CS87"/>
      <c s="332" r="CT87"/>
      <c s="326" r="CU87"/>
      <c s="332" r="CV87"/>
      <c s="332" r="CW87"/>
      <c s="326" r="CX87"/>
      <c s="332" r="CY87"/>
      <c s="332" r="CZ87"/>
      <c s="326" r="DA87"/>
      <c s="332" r="DB87"/>
      <c s="332" r="DC87"/>
      <c s="326" r="DD87"/>
      <c s="332" r="DE87"/>
      <c s="332" r="DF87"/>
      <c s="335" r="DG87"/>
    </row>
    <row r="88" spans="1:111" ht="24" customHeight="1">
      <c s="321" r="A88"/>
      <c s="322" r="B88" t="str">
        <v>参数与零值</v>
      </c>
      <c s="331" r="C88"/>
      <c s="332" r="D88" t="str">
        <v>新增年度请复制完整年度组并修改SOP+n；保留车型与单车（元）标题。新增明细归入原上级，暂不增加调参联动。</v>
      </c>
      <c s="332" r="E88"/>
      <c s="333" r="F88"/>
      <c s="332" r="G88"/>
      <c s="332" r="H88"/>
      <c s="333" r="I88"/>
      <c s="332" r="J88"/>
      <c s="332" r="K88"/>
      <c s="333" r="L88"/>
      <c s="332" r="M88"/>
      <c s="332" r="N88"/>
      <c s="333" r="O88"/>
      <c s="332" r="P88"/>
      <c s="332" r="Q88"/>
      <c s="334" r="R88"/>
      <c s="332" r="S88"/>
      <c s="332" r="T88"/>
      <c s="324" r="U88"/>
      <c s="332" r="V88"/>
      <c s="332" r="W88"/>
      <c s="333" r="X88"/>
      <c s="332" r="Y88"/>
      <c s="332" r="Z88"/>
      <c s="333" r="AA88"/>
      <c s="332" r="AB88"/>
      <c s="332" r="AC88"/>
      <c s="333" r="AD88"/>
      <c s="332" r="AE88"/>
      <c s="332" r="AF88"/>
      <c s="333" r="AG88"/>
      <c s="332" r="AH88"/>
      <c s="332" r="AI88"/>
      <c s="334" r="AJ88"/>
      <c s="332" r="AK88"/>
      <c s="332" r="AL88"/>
      <c s="324" r="AM88"/>
      <c s="332" r="AN88"/>
      <c s="332" r="AO88"/>
      <c s="333" r="AP88"/>
      <c s="332" r="AQ88"/>
      <c s="332" r="AR88"/>
      <c s="333" r="AS88"/>
      <c s="332" r="AT88"/>
      <c s="332" r="AU88"/>
      <c s="333" r="AV88"/>
      <c s="332" r="AW88"/>
      <c s="332" r="AX88"/>
      <c s="333" r="AY88"/>
      <c s="332" r="AZ88"/>
      <c s="332" r="BA88"/>
      <c s="334" r="BB88"/>
      <c s="332" r="BC88"/>
      <c s="332" r="BD88"/>
      <c s="324" r="BE88"/>
      <c s="332" r="BF88"/>
      <c s="332" r="BG88"/>
      <c s="333" r="BH88"/>
      <c s="332" r="BI88"/>
      <c s="332" r="BJ88"/>
      <c s="333" r="BK88"/>
      <c s="332" r="BL88"/>
      <c s="332" r="BM88"/>
      <c s="333" r="BN88"/>
      <c s="332" r="BO88"/>
      <c s="332" r="BP88"/>
      <c s="333" r="BQ88"/>
      <c s="332" r="BR88"/>
      <c s="332" r="BS88"/>
      <c s="334" r="BT88"/>
      <c s="332" r="BU88"/>
      <c s="332" r="BV88"/>
      <c s="324" r="BW88"/>
      <c s="332" r="BX88"/>
      <c s="332" r="BY88"/>
      <c s="333" r="BZ88"/>
      <c s="332" r="CA88"/>
      <c s="332" r="CB88"/>
      <c s="333" r="CC88"/>
      <c s="332" r="CD88"/>
      <c s="332" r="CE88"/>
      <c s="333" r="CF88"/>
      <c s="332" r="CG88"/>
      <c s="332" r="CH88"/>
      <c s="333" r="CI88"/>
      <c s="332" r="CJ88"/>
      <c s="332" r="CK88"/>
      <c s="334" r="CL88"/>
      <c s="332" r="CM88"/>
      <c s="332" r="CN88"/>
      <c s="325" r="CO88"/>
      <c s="332" r="CP88"/>
      <c s="332" r="CQ88"/>
      <c s="326" r="CR88"/>
      <c s="332" r="CS88"/>
      <c s="332" r="CT88"/>
      <c s="326" r="CU88"/>
      <c s="332" r="CV88"/>
      <c s="332" r="CW88"/>
      <c s="326" r="CX88"/>
      <c s="332" r="CY88"/>
      <c s="332" r="CZ88"/>
      <c s="326" r="DA88"/>
      <c s="332" r="DB88"/>
      <c s="332" r="DC88"/>
      <c s="326" r="DD88"/>
      <c s="332" r="DE88"/>
      <c s="332" r="DF88"/>
      <c s="335" r="DG88"/>
    </row>
    <row r="89" spans="1:111" ht="24" customHeight="1">
      <c s="321" r="A89"/>
      <c s="322" r="B89" t="str">
        <v>计算依据</v>
      </c>
      <c s="331" r="C89"/>
      <c s="332" r="D89" t="str">
        <v>依据本模板的科目层级及《BC测算分析模板-线下.xlsx》已有计算关系；集团分摊沿用已确认的计入EBIT口径。</v>
      </c>
      <c s="332" r="E89"/>
      <c s="333" r="F89"/>
      <c s="332" r="G89"/>
      <c s="332" r="H89"/>
      <c s="333" r="I89"/>
      <c s="332" r="J89"/>
      <c s="332" r="K89"/>
      <c s="333" r="L89"/>
      <c s="332" r="M89"/>
      <c s="332" r="N89"/>
      <c s="333" r="O89"/>
      <c s="332" r="P89"/>
      <c s="332" r="Q89"/>
      <c s="334" r="R89"/>
      <c s="332" r="S89"/>
      <c s="332" r="T89"/>
      <c s="324" r="U89"/>
      <c s="332" r="V89"/>
      <c s="332" r="W89"/>
      <c s="333" r="X89"/>
      <c s="332" r="Y89"/>
      <c s="332" r="Z89"/>
      <c s="333" r="AA89"/>
      <c s="332" r="AB89"/>
      <c s="332" r="AC89"/>
      <c s="333" r="AD89"/>
      <c s="332" r="AE89"/>
      <c s="332" r="AF89"/>
      <c s="333" r="AG89"/>
      <c s="332" r="AH89"/>
      <c s="332" r="AI89"/>
      <c s="334" r="AJ89"/>
      <c s="332" r="AK89"/>
      <c s="332" r="AL89"/>
      <c s="324" r="AM89"/>
      <c s="332" r="AN89"/>
      <c s="332" r="AO89"/>
      <c s="333" r="AP89"/>
      <c s="332" r="AQ89"/>
      <c s="332" r="AR89"/>
      <c s="333" r="AS89"/>
      <c s="332" r="AT89"/>
      <c s="332" r="AU89"/>
      <c s="333" r="AV89"/>
      <c s="332" r="AW89"/>
      <c s="332" r="AX89"/>
      <c s="333" r="AY89"/>
      <c s="332" r="AZ89"/>
      <c s="332" r="BA89"/>
      <c s="334" r="BB89"/>
      <c s="332" r="BC89"/>
      <c s="332" r="BD89"/>
      <c s="324" r="BE89"/>
      <c s="332" r="BF89"/>
      <c s="332" r="BG89"/>
      <c s="333" r="BH89"/>
      <c s="332" r="BI89"/>
      <c s="332" r="BJ89"/>
      <c s="333" r="BK89"/>
      <c s="332" r="BL89"/>
      <c s="332" r="BM89"/>
      <c s="333" r="BN89"/>
      <c s="332" r="BO89"/>
      <c s="332" r="BP89"/>
      <c s="333" r="BQ89"/>
      <c s="332" r="BR89"/>
      <c s="332" r="BS89"/>
      <c s="334" r="BT89"/>
      <c s="332" r="BU89"/>
      <c s="332" r="BV89"/>
      <c s="324" r="BW89"/>
      <c s="332" r="BX89"/>
      <c s="332" r="BY89"/>
      <c s="333" r="BZ89"/>
      <c s="332" r="CA89"/>
      <c s="332" r="CB89"/>
      <c s="333" r="CC89"/>
      <c s="332" r="CD89"/>
      <c s="332" r="CE89"/>
      <c s="333" r="CF89"/>
      <c s="332" r="CG89"/>
      <c s="332" r="CH89"/>
      <c s="333" r="CI89"/>
      <c s="332" r="CJ89"/>
      <c s="332" r="CK89"/>
      <c s="334" r="CL89"/>
      <c s="332" r="CM89"/>
      <c s="332" r="CN89"/>
      <c s="325" r="CO89"/>
      <c s="332" r="CP89"/>
      <c s="332" r="CQ89"/>
      <c s="326" r="CR89"/>
      <c s="332" r="CS89"/>
      <c s="332" r="CT89"/>
      <c s="326" r="CU89"/>
      <c s="332" r="CV89"/>
      <c s="332" r="CW89"/>
      <c s="326" r="CX89"/>
      <c s="332" r="CY89"/>
      <c s="332" r="CZ89"/>
      <c s="326" r="DA89"/>
      <c s="332" r="DB89"/>
      <c s="332" r="DC89"/>
      <c s="326" r="DD89"/>
      <c s="332" r="DE89"/>
      <c s="332" r="DF89"/>
      <c s="335" r="DG89"/>
    </row>
  </sheetData>
  <mergeCells>
    <mergeCell ref="P4:Q4"/>
    <mergeCell ref="BO4:BP4"/>
    <mergeCell ref="B1:DG1"/>
    <mergeCell ref="Y4:Z4"/>
    <mergeCell ref="CG4:CH4"/>
    <mergeCell ref="CP4:CQ4"/>
    <mergeCell ref="V3:AL3"/>
    <mergeCell ref="CA4:CB4"/>
    <mergeCell ref="CM4:CN4"/>
    <mergeCell ref="AN3:BD3"/>
    <mergeCell ref="V2:AL2"/>
    <mergeCell ref="AB4:AC4"/>
    <mergeCell ref="AK4:AL4"/>
    <mergeCell ref="AW4:AX4"/>
    <mergeCell ref="V4:W4"/>
    <mergeCell ref="AH4:AI4"/>
    <mergeCell ref="AN4:AO4"/>
    <mergeCell ref="CY4:CZ4"/>
    <mergeCell ref="BX4:BY4"/>
    <mergeCell ref="CJ4:CK4"/>
    <mergeCell ref="BF3:BV3"/>
    <mergeCell ref="D2:T2"/>
    <mergeCell ref="DB4:DC4"/>
    <mergeCell ref="AT4:AU4"/>
    <mergeCell ref="AZ4:BA4"/>
    <mergeCell ref="J4:K4"/>
    <mergeCell ref="CV4:CW4"/>
    <mergeCell ref="BF4:BG4"/>
    <mergeCell ref="BL4:BM4"/>
    <mergeCell ref="CS4:CT4"/>
    <mergeCell ref="D4:E4"/>
    <mergeCell ref="AN2:BD2"/>
    <mergeCell ref="CP3:DC3"/>
    <mergeCell ref="BX2:CN2"/>
    <mergeCell ref="DE2:DF3"/>
    <mergeCell ref="AQ4:AR4"/>
    <mergeCell ref="G4:H4"/>
    <mergeCell ref="CP2:DC2"/>
    <mergeCell ref="BR4:BS4"/>
    <mergeCell ref="BC4:BD4"/>
    <mergeCell ref="D3:T3"/>
    <mergeCell ref="BI4:BJ4"/>
    <mergeCell ref="BU4:BV4"/>
    <mergeCell ref="BX3:CN3"/>
    <mergeCell ref="CD4:CE4"/>
    <mergeCell ref="DE4:DF4"/>
    <mergeCell ref="M4:N4"/>
    <mergeCell ref="S4:T4"/>
    <mergeCell ref="BF2:BV2"/>
    <mergeCell ref="AE4:AF4"/>
    <mergeCell ref="D72:T72"/>
    <mergeCell ref="D81:T81"/>
    <mergeCell ref="D82:T82"/>
    <mergeCell ref="D83:T83"/>
    <mergeCell ref="D84:T84"/>
    <mergeCell ref="D85:T85"/>
    <mergeCell ref="D86:T86"/>
    <mergeCell ref="D87:T87"/>
    <mergeCell ref="D88:T88"/>
    <mergeCell ref="D89:T89"/>
  </mergeCells>
  <pageMargins left="0.7" right="0.7" top="0.75" bottom="0.75" header="0.3" footer="0.3"/>
</worksheet>
</file>