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9eabb893e247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车型损益表" sheetId="1" r:id="Ra491f66e513f4b45"/>
  </x:sheets>
</x:workbook>
</file>

<file path=xl/sharedStrings.xml><?xml version="1.0" encoding="utf-8"?>
<x:sst xmlns:x="http://schemas.openxmlformats.org/spreadsheetml/2006/main">
  <x:si>
    <x:t xml:space="preserve">损益科目</x:t>
  </x:si>
  <x:si>
    <x:t xml:space="preserve">SOP</x:t>
  </x:si>
  <x:si>
    <x:t xml:space="preserve">SOP+1</x:t>
  </x:si>
  <x:si>
    <x:t xml:space="preserve">SOP+2</x:t>
  </x:si>
  <x:si>
    <x:t xml:space="preserve">SOP+3</x:t>
  </x:si>
  <x:si>
    <x:t xml:space="preserve">SOP+4</x:t>
  </x:si>
  <x:si>
    <x:t xml:space="preserve">车型A</x:t>
  </x:si>
  <x:si>
    <x:t xml:space="preserve">车型B</x:t>
  </x:si>
  <x:si>
    <x:t xml:space="preserve">车型C</x:t>
  </x:si>
  <x:si>
    <x:t xml:space="preserve">车型D</x:t>
  </x:si>
  <x:si>
    <x:t xml:space="preserve">车型E</x:t>
  </x:si>
  <x:si>
    <x:t xml:space="preserve">单车（元）</x:t>
  </x:si>
  <x:si>
    <x:t xml:space="preserve">Sales · 销量</x:t>
  </x:si>
  <x:si>
    <x:t xml:space="preserve">MIX · 销量占比</x:t>
  </x:si>
  <x:si>
    <x:t xml:space="preserve">MSRP</x:t>
  </x:si>
  <x:si>
    <x:t xml:space="preserve">VAT</x:t>
  </x:si>
  <x:si>
    <x:t xml:space="preserve">收入抵减项</x:t>
  </x:si>
  <x:si>
    <x:t xml:space="preserve">-积分权益类</x:t>
  </x:si>
  <x:si>
    <x:t xml:space="preserve">-展车销售折扣</x:t>
  </x:si>
  <x:si>
    <x:t xml:space="preserve">-金融贴息</x:t>
  </x:si>
  <x:si>
    <x:t xml:space="preserve">-购置税补贴</x:t>
  </x:si>
  <x:si>
    <x:t xml:space="preserve">-其他</x:t>
  </x:si>
  <x:si>
    <x:t xml:space="preserve">净收入</x:t>
  </x:si>
  <x:si>
    <x:t xml:space="preserve">成本总额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</x:si>
</x:sst>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0%"/>
    <x:numFmt numFmtId="201" formatCode="#,##0.00"/>
    <x:numFmt numFmtId="202" formatCode="General"/>
  </x:numFmts>
  <x:fonts count="36">
    <x:font>
      <x:sz val="11"/>
      <x:color theme="1"/>
      <x:name val="宋体"/>
    </x:font>
    <x:font>
      <x:b/>
      <x:sz val="10"/>
      <x:color rgb="FF383931"/>
      <x:name val="微软雅黑"/>
    </x:font>
    <x:font>
      <x:sz val="10"/>
      <x:color rgb="FF383931"/>
      <x:name val="微软雅黑"/>
    </x:font>
    <x:font>
      <x:sz val="10"/>
      <x:color rgb="FF96643B"/>
      <x:name val="微软雅黑"/>
    </x:font>
    <x:font>
      <x:b/>
      <x:sz val="10"/>
      <x:color rgb="FF9E5036"/>
      <x:name val="微软雅黑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color rgb="FF215EA8"/>
      <x:name val="微软雅黑"/>
    </x:font>
    <x:font>
      <x:b/>
      <x:sz val="10"/>
      <x:color rgb="FF215EA8"/>
      <x:name val="微软雅黑"/>
    </x:font>
    <x:font>
      <x:sz val="10"/>
      <x:color rgb="FF74766B"/>
      <x:name val="微软雅黑"/>
    </x:font>
    <x:font>
      <x:b/>
      <x:sz val="10"/>
      <x:color rgb="FF74766B"/>
      <x:name val="微软雅黑"/>
    </x:font>
    <x:font>
      <x:b/>
      <x:sz val="10"/>
      <x:color rgb="FF383931"/>
      <x:name val="微软雅黑"/>
    </x:font>
    <x:font>
      <x:sz val="10"/>
      <x:color rgb="FF383931"/>
      <x:name val="微软雅黑"/>
    </x:font>
    <x:font>
      <x:sz val="10"/>
      <x:color rgb="FF215EA8"/>
      <x:name val="微软雅黑"/>
    </x:font>
    <x:font>
      <x:b/>
      <x:sz val="10"/>
      <x:color rgb="FF215EA8"/>
      <x:name val="微软雅黑"/>
    </x:font>
    <x:font>
      <x:b/>
      <x:sz val="10"/>
      <x:color rgb="FF9E5036"/>
      <x:name val="微软雅黑"/>
    </x:font>
    <x:font>
      <x:b/>
      <x:sz val="10"/>
      <x:color rgb="FF74766B"/>
      <x:name val="微软雅黑"/>
    </x:font>
    <x:font>
      <x:sz val="10"/>
      <x:color rgb="FF74766B"/>
      <x:name val="微软雅黑"/>
    </x:font>
  </x:fonts>
  <x:fills count="44">
    <x:fill>
      <x:patternFill patternType="none"/>
    </x:fill>
    <x:fill>
      <x:patternFill patternType="gray125"/>
    </x:fill>
    <x:fill>
      <x:patternFill patternType="solid">
        <x:fgColor rgb="FFF0EEE6"/>
      </x:patternFill>
    </x:fill>
    <x:fill>
      <x:patternFill patternType="solid">
        <x:fgColor rgb="FFFAF9F5"/>
      </x:patternFill>
    </x:fill>
    <x:fill>
      <x:patternFill patternType="solid">
        <x:fgColor rgb="FFFDFAF2"/>
      </x:patternFill>
    </x:fill>
    <x:fill>
      <x:patternFill patternType="solid">
        <x:fgColor rgb="FFEEE5D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9E8"/>
      </x:patternFill>
    </x:fill>
    <x:fill>
      <x:patternFill patternType="solid">
        <x:fgColor rgb="FFF1EFE5"/>
      </x:patternFill>
    </x:fill>
    <x:fill>
      <x:patternFill patternType="solid">
        <x:fgColor rgb="FFFAF9F5"/>
      </x:patternFill>
    </x:fill>
    <x:fill>
      <x:patternFill patternType="solid">
        <x:fgColor rgb="FFFFF9E8"/>
      </x:patternFill>
    </x:fill>
    <x:fill>
      <x:patternFill patternType="solid">
        <x:fgColor rgb="FFF0EEE6"/>
      </x:patternFill>
    </x:fill>
    <x:fill>
      <x:patternFill patternType="solid">
        <x:fgColor rgb="FFEEE5D8"/>
      </x:patternFill>
    </x:fill>
    <x:fill>
      <x:patternFill patternType="solid">
        <x:fgColor rgb="FFF1EFE5"/>
      </x:patternFill>
    </x:fill>
  </x:fills>
  <x:borders count="36">
    <x:border/>
    <x:border>
      <x:left style="medium">
        <x:color auto="1"/>
      </x:left>
      <x:right style="medium">
        <x:color auto="1"/>
      </x:right>
      <x:top style="medium">
        <x:color auto="1"/>
      </x:top>
    </x:border>
    <x:border>
      <x:left style="medium">
        <x:color auto="1"/>
      </x:left>
      <x:top style="medium">
        <x:color auto="1"/>
      </x:top>
      <x:bottom style="hair">
        <x:color rgb="FFE3E1D8"/>
      </x:bottom>
    </x:border>
    <x:border>
      <x:top style="medium">
        <x:color auto="1"/>
      </x:top>
      <x:bottom style="hair">
        <x:color rgb="FFE3E1D8"/>
      </x:bottom>
    </x:border>
    <x:border>
      <x:right style="medium">
        <x:color auto="1"/>
      </x:right>
      <x:top style="medium">
        <x:color auto="1"/>
      </x:top>
      <x:bottom style="hair">
        <x:color rgb="FFE3E1D8"/>
      </x:bottom>
    </x:border>
    <x:border>
      <x:left style="medium">
        <x:color auto="1"/>
      </x:left>
      <x:right style="medium">
        <x:color auto="1"/>
      </x:right>
    </x:border>
    <x:border>
      <x:left style="medium">
        <x:color auto="1"/>
      </x:left>
      <x:bottom style="hair">
        <x:color rgb="FFE3E1D8"/>
      </x:bottom>
    </x:border>
    <x:border>
      <x:bottom style="hair">
        <x:color rgb="FFE3E1D8"/>
      </x:bottom>
    </x:border>
    <x:border>
      <x:right style="medium">
        <x:color auto="1"/>
      </x:right>
      <x:bottom style="hair">
        <x:color rgb="FFE3E1D8"/>
      </x:bottom>
    </x:border>
    <x:border>
      <x:left style="medium">
        <x:color auto="1"/>
      </x:left>
      <x:right style="medium">
        <x:color auto="1"/>
      </x:right>
      <x:bottom style="hair">
        <x:color rgb="FFE3E1D8"/>
      </x:bottom>
    </x:border>
    <x:border>
      <x:left style="medium">
        <x:color auto="1"/>
      </x:left>
      <x:right style="medium">
        <x:color auto="1"/>
      </x:right>
      <x:bottom style="thin">
        <x:color rgb="FFE3E1D8"/>
      </x:bottom>
    </x:border>
    <x:border>
      <x:left style="medium">
        <x:color auto="1"/>
      </x:left>
      <x:bottom style="thin">
        <x:color rgb="FFE3E1D8"/>
      </x:bottom>
    </x:border>
    <x:border>
      <x:bottom style="thin">
        <x:color rgb="FFE3E1D8"/>
      </x:bottom>
    </x:border>
    <x:border>
      <x:right style="medium">
        <x:color auto="1"/>
      </x:right>
      <x:bottom style="thin">
        <x:color rgb="FFE3E1D8"/>
      </x:bottom>
    </x:border>
    <x:border>
      <x:left style="medium">
        <x:color auto="1"/>
      </x:left>
      <x:right style="medium">
        <x:color auto="1"/>
      </x:right>
      <x:bottom style="medium">
        <x:color auto="1"/>
      </x:bottom>
    </x:border>
    <x:border>
      <x:left style="medium">
        <x:color auto="1"/>
      </x:left>
      <x:bottom style="medium">
        <x:color auto="1"/>
      </x:bottom>
    </x:border>
    <x:border>
      <x:bottom style="medium">
        <x:color auto="1"/>
      </x:bottom>
    </x:border>
    <x:border>
      <x:right style="medium">
        <x:color auto="1"/>
      </x:right>
      <x:bottom style="medium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medium">
        <x:color rgb="FF000000"/>
      </x:left>
      <x:right style="medium">
        <x:color rgb="FF000000"/>
      </x:right>
      <x:bottom style="hair">
        <x:color rgb="FFE3E1D8"/>
      </x:bottom>
    </x:border>
    <x:border>
      <x:left style="medium">
        <x:color rgb="FF000000"/>
      </x:left>
      <x:bottom style="hair">
        <x:color rgb="FFE3E1D8"/>
      </x:bottom>
    </x:border>
    <x:border>
      <x:right style="medium">
        <x:color rgb="FF000000"/>
      </x:right>
      <x:bottom style="hair">
        <x:color rgb="FFE3E1D8"/>
      </x:bottom>
    </x:border>
    <x:border>
      <x:left style="medium">
        <x:color rgb="FF000000"/>
      </x:left>
      <x:right style="medium">
        <x:color rgb="FF000000"/>
      </x:right>
      <x:bottom style="thin">
        <x:color rgb="FFE3E1D8"/>
      </x:bottom>
    </x:border>
    <x:border>
      <x:left style="medium">
        <x:color rgb="FF000000"/>
      </x:left>
      <x:bottom style="thin">
        <x:color rgb="FFE3E1D8"/>
      </x:bottom>
    </x:border>
    <x:border>
      <x:right style="medium">
        <x:color rgb="FF000000"/>
      </x:right>
      <x:bottom style="thin">
        <x:color rgb="FFE3E1D8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bottom style="medium">
        <x:color rgb="FF000000"/>
      </x:bottom>
    </x:border>
    <x:border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</x:borders>
  <x:cellStyleXfs count="49">
    <x:xf numFmtId="0" fontId="0" fillId="0" borderId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6" borderId="18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19" applyNumberFormat="0" applyFill="0" applyAlignment="0" applyProtection="0">
      <x:alignment vertical="center"/>
    </x:xf>
    <x:xf numFmtId="0" fontId="12" fillId="0" borderId="19" applyNumberFormat="0" applyFill="0" applyAlignment="0" applyProtection="0">
      <x:alignment vertical="center"/>
    </x:xf>
    <x:xf numFmtId="0" fontId="13" fillId="0" borderId="20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7" borderId="21" applyNumberFormat="0" applyAlignment="0" applyProtection="0">
      <x:alignment vertical="center"/>
    </x:xf>
    <x:xf numFmtId="0" fontId="15" fillId="8" borderId="22" applyNumberFormat="0" applyAlignment="0" applyProtection="0">
      <x:alignment vertical="center"/>
    </x:xf>
    <x:xf numFmtId="0" fontId="16" fillId="8" borderId="21" applyNumberFormat="0" applyAlignment="0" applyProtection="0">
      <x:alignment vertical="center"/>
    </x:xf>
    <x:xf numFmtId="0" fontId="17" fillId="9" borderId="23" applyNumberFormat="0" applyAlignment="0" applyProtection="0">
      <x:alignment vertical="center"/>
    </x:xf>
    <x:xf numFmtId="0" fontId="18" fillId="0" borderId="24" applyNumberFormat="0" applyFill="0" applyAlignment="0" applyProtection="0">
      <x:alignment vertical="center"/>
    </x:xf>
    <x:xf numFmtId="0" fontId="19" fillId="0" borderId="25" applyNumberFormat="0" applyFill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3" fillId="36" borderId="0" applyNumberFormat="0" applyBorder="0" applyAlignment="0" applyProtection="0">
      <x:alignment vertical="center"/>
    </x:xf>
  </x:cellStyleXfs>
  <x:cellXfs count="223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1" fillId="2" borderId="3" xfId="0" applyFont="1" applyFill="1" applyBorder="1" applyAlignment="1">
      <x:alignment horizontal="center" vertical="center" wrapText="1"/>
    </x:xf>
    <x:xf numFmtId="0" fontId="1" fillId="2" borderId="4" xfId="0" applyFont="1" applyFill="1" applyBorder="1" applyAlignment="1">
      <x:alignment horizontal="center" vertical="center" wrapText="1"/>
    </x:xf>
    <x:xf numFmtId="0" fontId="1" fillId="2" borderId="5" xfId="0" applyFont="1" applyFill="1" applyBorder="1" applyAlignment="1">
      <x:alignment horizontal="center" vertical="center" wrapText="1"/>
    </x:xf>
    <x:xf numFmtId="0" fontId="1" fillId="2" borderId="6" xfId="0" applyFont="1" applyFill="1" applyBorder="1" applyAlignment="1">
      <x:alignment horizontal="center" vertical="center" wrapText="1"/>
    </x:xf>
    <x:xf numFmtId="0" fontId="1" fillId="2" borderId="7" xfId="0" applyFont="1" applyFill="1" applyBorder="1" applyAlignment="1">
      <x:alignment horizontal="center" vertical="center" wrapText="1"/>
    </x:xf>
    <x:xf numFmtId="0" fontId="1" fillId="2" borderId="8" xfId="0" applyFont="1" applyFill="1" applyBorder="1" applyAlignment="1">
      <x:alignment horizontal="center" vertical="center" wrapText="1"/>
    </x:xf>
    <x:xf numFmtId="0" fontId="1" fillId="2" borderId="9" xfId="0" applyFont="1" applyFill="1" applyBorder="1" applyAlignment="1">
      <x:alignment horizontal="center" vertical="center" wrapText="1"/>
    </x:xf>
    <x:xf numFmtId="0" fontId="2" fillId="3" borderId="9" xfId="0" applyFont="1" applyFill="1" applyBorder="1" applyAlignment="1">
      <x:alignment horizontal="left" vertical="center" wrapText="1"/>
    </x:xf>
    <x:xf numFmtId="3" fontId="2" fillId="3" borderId="6" xfId="0" applyNumberFormat="1" applyFont="1" applyFill="1" applyBorder="1" applyAlignment="1">
      <x:alignment horizontal="right" vertical="center"/>
    </x:xf>
    <x:xf numFmtId="3" fontId="2" fillId="3" borderId="7" xfId="0" applyNumberFormat="1" applyFont="1" applyFill="1" applyBorder="1" applyAlignment="1">
      <x:alignment horizontal="right" vertical="center"/>
    </x:xf>
    <x:xf numFmtId="3" fontId="2" fillId="3" borderId="8" xfId="0" applyNumberFormat="1" applyFont="1" applyFill="1" applyBorder="1" applyAlignment="1">
      <x:alignment horizontal="right" vertical="center"/>
    </x:xf>
    <x:xf numFmtId="10" fontId="2" fillId="3" borderId="6" xfId="0" applyNumberFormat="1" applyFont="1" applyFill="1" applyBorder="1" applyAlignment="1">
      <x:alignment horizontal="right" vertical="center"/>
    </x:xf>
    <x:xf numFmtId="10" fontId="2" fillId="3" borderId="7" xfId="0" applyNumberFormat="1" applyFont="1" applyFill="1" applyBorder="1" applyAlignment="1">
      <x:alignment horizontal="right" vertical="center"/>
    </x:xf>
    <x:xf numFmtId="10" fontId="2" fillId="3" borderId="8" xfId="0" applyNumberFormat="1" applyFont="1" applyFill="1" applyBorder="1" applyAlignment="1">
      <x:alignment horizontal="right" vertical="center"/>
    </x:xf>
    <x:xf numFmtId="4" fontId="2" fillId="3" borderId="6" xfId="0" applyNumberFormat="1" applyFont="1" applyFill="1" applyBorder="1" applyAlignment="1">
      <x:alignment horizontal="right" vertical="center"/>
    </x:xf>
    <x:xf numFmtId="4" fontId="2" fillId="3" borderId="7" xfId="0" applyNumberFormat="1" applyFont="1" applyFill="1" applyBorder="1" applyAlignment="1">
      <x:alignment horizontal="right" vertical="center"/>
    </x:xf>
    <x:xf numFmtId="4" fontId="2" fillId="3" borderId="8" xfId="0" applyNumberFormat="1" applyFont="1" applyFill="1" applyBorder="1" applyAlignment="1">
      <x:alignment horizontal="right" vertical="center"/>
    </x:xf>
    <x:xf numFmtId="0" fontId="1" fillId="3" borderId="9" xfId="0" applyFont="1" applyFill="1" applyBorder="1" applyAlignment="1">
      <x:alignment horizontal="left" vertical="center" wrapText="1"/>
    </x:xf>
    <x:xf numFmtId="4" fontId="1" fillId="3" borderId="6" xfId="0" applyNumberFormat="1" applyFont="1" applyFill="1" applyBorder="1" applyAlignment="1">
      <x:alignment horizontal="right" vertical="center"/>
    </x:xf>
    <x:xf numFmtId="4" fontId="1" fillId="3" borderId="7" xfId="0" applyNumberFormat="1" applyFont="1" applyFill="1" applyBorder="1" applyAlignment="1">
      <x:alignment horizontal="right" vertical="center"/>
    </x:xf>
    <x:xf numFmtId="4" fontId="1" fillId="3" borderId="8" xfId="0" applyNumberFormat="1" applyFont="1" applyFill="1" applyBorder="1" applyAlignment="1">
      <x:alignment horizontal="right" vertical="center"/>
    </x:xf>
    <x:xf numFmtId="0" fontId="1" fillId="2" borderId="10" xfId="0" applyFont="1" applyFill="1" applyBorder="1" applyAlignment="1">
      <x:alignment horizontal="left" vertical="center" wrapText="1"/>
    </x:xf>
    <x:xf numFmtId="4" fontId="1" fillId="2" borderId="11" xfId="0" applyNumberFormat="1" applyFont="1" applyFill="1" applyBorder="1" applyAlignment="1">
      <x:alignment horizontal="right" vertical="center"/>
    </x:xf>
    <x:xf numFmtId="4" fontId="1" fillId="2" borderId="12" xfId="0" applyNumberFormat="1" applyFont="1" applyFill="1" applyBorder="1" applyAlignment="1">
      <x:alignment horizontal="right" vertical="center"/>
    </x:xf>
    <x:xf numFmtId="4" fontId="1" fillId="2" borderId="13" xfId="0" applyNumberFormat="1" applyFont="1" applyFill="1" applyBorder="1" applyAlignment="1">
      <x:alignment horizontal="right" vertical="center"/>
    </x:xf>
    <x:xf numFmtId="0" fontId="3" fillId="4" borderId="9" xfId="0" applyFont="1" applyFill="1" applyBorder="1" applyAlignment="1">
      <x:alignment horizontal="left" vertical="center" wrapText="1"/>
    </x:xf>
    <x:xf numFmtId="4" fontId="3" fillId="4" borderId="6" xfId="0" applyNumberFormat="1" applyFont="1" applyFill="1" applyBorder="1" applyAlignment="1">
      <x:alignment horizontal="right" vertical="center"/>
    </x:xf>
    <x:xf numFmtId="4" fontId="3" fillId="4" borderId="7" xfId="0" applyNumberFormat="1" applyFont="1" applyFill="1" applyBorder="1" applyAlignment="1">
      <x:alignment horizontal="right" vertical="center"/>
    </x:xf>
    <x:xf numFmtId="4" fontId="3" fillId="4" borderId="8" xfId="0" applyNumberFormat="1" applyFont="1" applyFill="1" applyBorder="1" applyAlignment="1">
      <x:alignment horizontal="right" vertical="center"/>
    </x:xf>
    <x:xf numFmtId="0" fontId="4" fillId="5" borderId="14" xfId="0" applyFont="1" applyFill="1" applyBorder="1" applyAlignment="1">
      <x:alignment horizontal="left" vertical="center" wrapText="1"/>
    </x:xf>
    <x:xf numFmtId="4" fontId="4" fillId="5" borderId="15" xfId="0" applyNumberFormat="1" applyFont="1" applyFill="1" applyBorder="1" applyAlignment="1">
      <x:alignment horizontal="right" vertical="center"/>
    </x:xf>
    <x:xf numFmtId="4" fontId="4" fillId="5" borderId="16" xfId="0" applyNumberFormat="1" applyFont="1" applyFill="1" applyBorder="1" applyAlignment="1">
      <x:alignment horizontal="right" vertical="center"/>
    </x:xf>
    <x:xf numFmtId="4" fontId="4" fillId="5" borderId="17" xfId="0" applyNumberFormat="1" applyFont="1" applyFill="1" applyBorder="1" applyAlignment="1">
      <x:alignment horizontal="right" vertical="center"/>
    </x:xf>
    <x:xf numFmtId="3" fontId="2" fillId="37" borderId="6" xfId="0" applyNumberFormat="1" applyFont="1" applyFill="1" applyBorder="1" applyAlignment="1">
      <x:alignment horizontal="right" vertical="center"/>
    </x:xf>
    <x:xf numFmtId="3" fontId="2" fillId="37" borderId="7" xfId="0" applyNumberFormat="1" applyFont="1" applyFill="1" applyBorder="1" applyAlignment="1">
      <x:alignment horizontal="right" vertical="center"/>
    </x:xf>
    <x:xf numFmtId="3" fontId="2" fillId="37" borderId="8" xfId="0" applyNumberFormat="1" applyFont="1" applyFill="1" applyBorder="1" applyAlignment="1">
      <x:alignment horizontal="right" vertical="center"/>
    </x:xf>
    <x:xf numFmtId="3" fontId="25" fillId="37" borderId="6" xfId="0" applyNumberFormat="1" applyFont="1" applyFill="1" applyBorder="1" applyAlignment="1">
      <x:alignment horizontal="right" vertical="center"/>
    </x:xf>
    <x:xf numFmtId="3" fontId="25" fillId="37" borderId="7" xfId="0" applyNumberFormat="1" applyFont="1" applyFill="1" applyBorder="1" applyAlignment="1">
      <x:alignment horizontal="right" vertical="center"/>
    </x:xf>
    <x:xf numFmtId="3" fontId="25" fillId="37" borderId="8" xfId="0" applyNumberFormat="1" applyFont="1" applyFill="1" applyBorder="1" applyAlignment="1">
      <x:alignment horizontal="right" vertical="center"/>
    </x:xf>
    <x:xf numFmtId="4" fontId="2" fillId="37" borderId="6" xfId="0" applyNumberFormat="1" applyFont="1" applyFill="1" applyBorder="1" applyAlignment="1">
      <x:alignment horizontal="right" vertical="center"/>
    </x:xf>
    <x:xf numFmtId="4" fontId="2" fillId="37" borderId="7" xfId="0" applyNumberFormat="1" applyFont="1" applyFill="1" applyBorder="1" applyAlignment="1">
      <x:alignment horizontal="right" vertical="center"/>
    </x:xf>
    <x:xf numFmtId="4" fontId="2" fillId="37" borderId="8" xfId="0" applyNumberFormat="1" applyFont="1" applyFill="1" applyBorder="1" applyAlignment="1">
      <x:alignment horizontal="right" vertical="center"/>
    </x:xf>
    <x:xf numFmtId="4" fontId="25" fillId="37" borderId="6" xfId="0" applyNumberFormat="1" applyFont="1" applyFill="1" applyBorder="1" applyAlignment="1">
      <x:alignment horizontal="right" vertical="center"/>
    </x:xf>
    <x:xf numFmtId="4" fontId="25" fillId="37" borderId="7" xfId="0" applyNumberFormat="1" applyFont="1" applyFill="1" applyBorder="1" applyAlignment="1">
      <x:alignment horizontal="right" vertical="center"/>
    </x:xf>
    <x:xf numFmtId="4" fontId="25" fillId="37" borderId="8" xfId="0" applyNumberFormat="1" applyFont="1" applyFill="1" applyBorder="1" applyAlignment="1">
      <x:alignment horizontal="right" vertical="center"/>
    </x:xf>
    <x:xf numFmtId="4" fontId="3" fillId="37" borderId="6" xfId="0" applyNumberFormat="1" applyFont="1" applyFill="1" applyBorder="1" applyAlignment="1">
      <x:alignment horizontal="right" vertical="center"/>
    </x:xf>
    <x:xf numFmtId="4" fontId="3" fillId="37" borderId="7" xfId="0" applyNumberFormat="1" applyFont="1" applyFill="1" applyBorder="1" applyAlignment="1">
      <x:alignment horizontal="right" vertical="center"/>
    </x:xf>
    <x:xf numFmtId="4" fontId="3" fillId="37" borderId="8" xfId="0" applyNumberFormat="1" applyFont="1" applyFill="1" applyBorder="1" applyAlignment="1">
      <x:alignment horizontal="right" vertical="center"/>
    </x:xf>
    <x:xf numFmtId="4" fontId="1" fillId="37" borderId="6" xfId="0" applyNumberFormat="1" applyFont="1" applyFill="1" applyBorder="1" applyAlignment="1">
      <x:alignment horizontal="right" vertical="center"/>
    </x:xf>
    <x:xf numFmtId="4" fontId="1" fillId="37" borderId="7" xfId="0" applyNumberFormat="1" applyFont="1" applyFill="1" applyBorder="1" applyAlignment="1">
      <x:alignment horizontal="right" vertical="center"/>
    </x:xf>
    <x:xf numFmtId="4" fontId="1" fillId="37" borderId="8" xfId="0" applyNumberFormat="1" applyFont="1" applyFill="1" applyBorder="1" applyAlignment="1">
      <x:alignment horizontal="right" vertical="center"/>
    </x:xf>
    <x:xf numFmtId="4" fontId="26" fillId="37" borderId="6" xfId="0" applyNumberFormat="1" applyFont="1" applyFill="1" applyBorder="1" applyAlignment="1">
      <x:alignment horizontal="right" vertical="center"/>
    </x:xf>
    <x:xf numFmtId="4" fontId="26" fillId="37" borderId="7" xfId="0" applyNumberFormat="1" applyFont="1" applyFill="1" applyBorder="1" applyAlignment="1">
      <x:alignment horizontal="right" vertical="center"/>
    </x:xf>
    <x:xf numFmtId="4" fontId="26" fillId="37" borderId="8" xfId="0" applyNumberFormat="1" applyFont="1" applyFill="1" applyBorder="1" applyAlignment="1">
      <x:alignment horizontal="right" vertical="center"/>
    </x:xf>
    <x:xf numFmtId="4" fontId="1" fillId="5" borderId="15" xfId="0" applyNumberFormat="1" applyFont="1" applyFill="1" applyBorder="1" applyAlignment="1">
      <x:alignment horizontal="right" vertical="center"/>
    </x:xf>
    <x:xf numFmtId="4" fontId="1" fillId="5" borderId="16" xfId="0" applyNumberFormat="1" applyFont="1" applyFill="1" applyBorder="1" applyAlignment="1">
      <x:alignment horizontal="right" vertical="center"/>
    </x:xf>
    <x:xf numFmtId="4" fontId="1" fillId="5" borderId="17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38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2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horizontal="right" vertical="center"/>
    </x:xf>
    <x:xf numFmtId="200" fontId="25" fillId="37" borderId="0" xfId="0" applyNumberFormat="1" applyFont="1" applyFill="1" applyBorder="1" applyAlignment="1">
      <x:alignment horizontal="right" vertical="center"/>
    </x:xf>
    <x:xf numFmtId="201" fontId="25" fillId="37" borderId="0" xfId="0" applyNumberFormat="1" applyFont="1" applyFill="1" applyBorder="1" applyAlignment="1">
      <x:alignment horizontal="right" vertical="center"/>
    </x:xf>
    <x:xf numFmtId="0" fontId="27" fillId="0" borderId="0" xfId="0" applyNumberFormat="1" applyFont="1" applyFill="1" applyBorder="1"/>
    <x:xf numFmtId="0" fontId="28" fillId="0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29" fillId="39" borderId="0" xfId="0" applyNumberFormat="1" applyFont="1" applyFill="1" applyBorder="1"/>
    <x:xf numFmtId="0" fontId="29" fillId="39" borderId="26" xfId="0" applyNumberFormat="1" applyFont="1" applyFill="1" applyBorder="1"/>
    <x:xf numFmtId="202" fontId="29" fillId="39" borderId="26" xfId="0" applyNumberFormat="1" applyFont="1" applyFill="1" applyBorder="1"/>
    <x:xf numFmtId="202" fontId="29" fillId="39" borderId="26" xfId="0" applyNumberFormat="1" applyFont="1" applyFill="1" applyBorder="1" applyAlignment="1">
      <x:alignment wrapText="1"/>
    </x:xf>
    <x:xf numFmtId="202" fontId="29" fillId="39" borderId="26" xfId="0" applyNumberFormat="1" applyFont="1" applyFill="1" applyBorder="1" applyAlignment="1">
      <x:alignment horizontal="left" wrapText="1"/>
    </x:xf>
    <x:xf numFmtId="202" fontId="29" fillId="39" borderId="26" xfId="0" applyNumberFormat="1" applyFont="1" applyFill="1" applyBorder="1" applyAlignment="1">
      <x:alignment horizontal="left" vertical="center" wrapText="1"/>
    </x:xf>
    <x:xf numFmtId="0" fontId="29" fillId="39" borderId="27" xfId="0" applyNumberFormat="1" applyFont="1" applyFill="1" applyBorder="1"/>
    <x:xf numFmtId="201" fontId="29" fillId="39" borderId="27" xfId="0" applyNumberFormat="1" applyFont="1" applyFill="1" applyBorder="1"/>
    <x:xf numFmtId="201" fontId="29" fillId="39" borderId="27" xfId="0" applyNumberFormat="1" applyFont="1" applyFill="1" applyBorder="1" applyAlignment="1">
      <x:alignment wrapText="0"/>
    </x:xf>
    <x:xf numFmtId="201" fontId="29" fillId="39" borderId="27" xfId="0" applyNumberFormat="1" applyFont="1" applyFill="1" applyBorder="1" applyAlignment="1">
      <x:alignment horizontal="right" wrapText="0"/>
    </x:xf>
    <x:xf numFmtId="201" fontId="29" fillId="39" borderId="27" xfId="0" applyNumberFormat="1" applyFont="1" applyFill="1" applyBorder="1" applyAlignment="1">
      <x:alignment horizontal="right" vertical="center" wrapText="0"/>
    </x:xf>
    <x:xf numFmtId="0" fontId="29" fillId="39" borderId="7" xfId="0" applyNumberFormat="1" applyFont="1" applyFill="1" applyBorder="1"/>
    <x:xf numFmtId="201" fontId="29" fillId="39" borderId="7" xfId="0" applyNumberFormat="1" applyFont="1" applyFill="1" applyBorder="1"/>
    <x:xf numFmtId="201" fontId="29" fillId="39" borderId="7" xfId="0" applyNumberFormat="1" applyFont="1" applyFill="1" applyBorder="1" applyAlignment="1">
      <x:alignment wrapText="0"/>
    </x:xf>
    <x:xf numFmtId="201" fontId="29" fillId="39" borderId="7" xfId="0" applyNumberFormat="1" applyFont="1" applyFill="1" applyBorder="1" applyAlignment="1">
      <x:alignment horizontal="right" wrapText="0"/>
    </x:xf>
    <x:xf numFmtId="201" fontId="29" fillId="39" borderId="7" xfId="0" applyNumberFormat="1" applyFont="1" applyFill="1" applyBorder="1" applyAlignment="1">
      <x:alignment horizontal="right" vertical="center" wrapText="0"/>
    </x:xf>
    <x:xf numFmtId="0" fontId="29" fillId="39" borderId="28" xfId="0" applyNumberFormat="1" applyFont="1" applyFill="1" applyBorder="1"/>
    <x:xf numFmtId="201" fontId="29" fillId="39" borderId="28" xfId="0" applyNumberFormat="1" applyFont="1" applyFill="1" applyBorder="1"/>
    <x:xf numFmtId="201" fontId="29" fillId="39" borderId="28" xfId="0" applyNumberFormat="1" applyFont="1" applyFill="1" applyBorder="1" applyAlignment="1">
      <x:alignment wrapText="0"/>
    </x:xf>
    <x:xf numFmtId="201" fontId="29" fillId="39" borderId="28" xfId="0" applyNumberFormat="1" applyFont="1" applyFill="1" applyBorder="1" applyAlignment="1">
      <x:alignment horizontal="right" wrapText="0"/>
    </x:xf>
    <x:xf numFmtId="201" fontId="29" fillId="39" borderId="28" xfId="0" applyNumberFormat="1" applyFont="1" applyFill="1" applyBorder="1" applyAlignment="1">
      <x:alignment horizontal="right" vertical="center" wrapText="0"/>
    </x:xf>
    <x:xf numFmtId="0" fontId="30" fillId="39" borderId="0" xfId="0" applyNumberFormat="1" applyFont="1" applyFill="1" applyBorder="1"/>
    <x:xf numFmtId="0" fontId="30" fillId="39" borderId="26" xfId="0" applyNumberFormat="1" applyFont="1" applyFill="1" applyBorder="1"/>
    <x:xf numFmtId="202" fontId="30" fillId="39" borderId="26" xfId="0" applyNumberFormat="1" applyFont="1" applyFill="1" applyBorder="1"/>
    <x:xf numFmtId="202" fontId="30" fillId="39" borderId="26" xfId="0" applyNumberFormat="1" applyFont="1" applyFill="1" applyBorder="1" applyAlignment="1">
      <x:alignment wrapText="1"/>
    </x:xf>
    <x:xf numFmtId="202" fontId="30" fillId="39" borderId="26" xfId="0" applyNumberFormat="1" applyFont="1" applyFill="1" applyBorder="1" applyAlignment="1">
      <x:alignment horizontal="left" wrapText="1"/>
    </x:xf>
    <x:xf numFmtId="202" fontId="30" fillId="39" borderId="26" xfId="0" applyNumberFormat="1" applyFont="1" applyFill="1" applyBorder="1" applyAlignment="1">
      <x:alignment horizontal="left" vertical="center" wrapText="1"/>
    </x:xf>
    <x:xf numFmtId="0" fontId="0" fillId="40" borderId="0" xfId="0" applyNumberFormat="1" applyFont="1" applyFill="1" applyBorder="1"/>
    <x:xf numFmtId="0" fontId="31" fillId="40" borderId="0" xfId="0" applyNumberFormat="1" applyFont="1" applyFill="1" applyBorder="1"/>
    <x:xf numFmtId="0" fontId="31" fillId="40" borderId="27" xfId="0" applyNumberFormat="1" applyFont="1" applyFill="1" applyBorder="1"/>
    <x:xf numFmtId="201" fontId="31" fillId="40" borderId="27" xfId="0" applyNumberFormat="1" applyFont="1" applyFill="1" applyBorder="1"/>
    <x:xf numFmtId="201" fontId="31" fillId="40" borderId="27" xfId="0" applyNumberFormat="1" applyFont="1" applyFill="1" applyBorder="1" applyAlignment="1">
      <x:alignment wrapText="0"/>
    </x:xf>
    <x:xf numFmtId="201" fontId="31" fillId="40" borderId="27" xfId="0" applyNumberFormat="1" applyFont="1" applyFill="1" applyBorder="1" applyAlignment="1">
      <x:alignment horizontal="right" wrapText="0"/>
    </x:xf>
    <x:xf numFmtId="201" fontId="31" fillId="40" borderId="27" xfId="0" applyNumberFormat="1" applyFont="1" applyFill="1" applyBorder="1" applyAlignment="1">
      <x:alignment horizontal="right" vertical="center" wrapText="0"/>
    </x:xf>
    <x:xf numFmtId="0" fontId="31" fillId="40" borderId="7" xfId="0" applyNumberFormat="1" applyFont="1" applyFill="1" applyBorder="1"/>
    <x:xf numFmtId="201" fontId="31" fillId="40" borderId="7" xfId="0" applyNumberFormat="1" applyFont="1" applyFill="1" applyBorder="1"/>
    <x:xf numFmtId="201" fontId="31" fillId="40" borderId="7" xfId="0" applyNumberFormat="1" applyFont="1" applyFill="1" applyBorder="1" applyAlignment="1">
      <x:alignment wrapText="0"/>
    </x:xf>
    <x:xf numFmtId="201" fontId="31" fillId="40" borderId="7" xfId="0" applyNumberFormat="1" applyFont="1" applyFill="1" applyBorder="1" applyAlignment="1">
      <x:alignment horizontal="right" wrapText="0"/>
    </x:xf>
    <x:xf numFmtId="201" fontId="31" fillId="40" borderId="7" xfId="0" applyNumberFormat="1" applyFont="1" applyFill="1" applyBorder="1" applyAlignment="1">
      <x:alignment horizontal="right" vertical="center" wrapText="0"/>
    </x:xf>
    <x:xf numFmtId="0" fontId="31" fillId="40" borderId="28" xfId="0" applyNumberFormat="1" applyFont="1" applyFill="1" applyBorder="1"/>
    <x:xf numFmtId="201" fontId="31" fillId="40" borderId="28" xfId="0" applyNumberFormat="1" applyFont="1" applyFill="1" applyBorder="1"/>
    <x:xf numFmtId="201" fontId="31" fillId="40" borderId="28" xfId="0" applyNumberFormat="1" applyFont="1" applyFill="1" applyBorder="1" applyAlignment="1">
      <x:alignment wrapText="0"/>
    </x:xf>
    <x:xf numFmtId="201" fontId="31" fillId="40" borderId="28" xfId="0" applyNumberFormat="1" applyFont="1" applyFill="1" applyBorder="1" applyAlignment="1">
      <x:alignment horizontal="right" wrapText="0"/>
    </x:xf>
    <x:xf numFmtId="201" fontId="31" fillId="40" borderId="28" xfId="0" applyNumberFormat="1" applyFont="1" applyFill="1" applyBorder="1" applyAlignment="1">
      <x:alignment horizontal="right" vertical="center" wrapText="0"/>
    </x:xf>
    <x:xf numFmtId="0" fontId="30" fillId="39" borderId="27" xfId="0" applyNumberFormat="1" applyFont="1" applyFill="1" applyBorder="1"/>
    <x:xf numFmtId="201" fontId="30" fillId="39" borderId="27" xfId="0" applyNumberFormat="1" applyFont="1" applyFill="1" applyBorder="1"/>
    <x:xf numFmtId="201" fontId="30" fillId="39" borderId="27" xfId="0" applyNumberFormat="1" applyFont="1" applyFill="1" applyBorder="1" applyAlignment="1">
      <x:alignment wrapText="0"/>
    </x:xf>
    <x:xf numFmtId="201" fontId="30" fillId="39" borderId="27" xfId="0" applyNumberFormat="1" applyFont="1" applyFill="1" applyBorder="1" applyAlignment="1">
      <x:alignment horizontal="right" wrapText="0"/>
    </x:xf>
    <x:xf numFmtId="201" fontId="30" fillId="39" borderId="27" xfId="0" applyNumberFormat="1" applyFont="1" applyFill="1" applyBorder="1" applyAlignment="1">
      <x:alignment horizontal="right" vertical="center" wrapText="0"/>
    </x:xf>
    <x:xf numFmtId="0" fontId="30" fillId="39" borderId="7" xfId="0" applyNumberFormat="1" applyFont="1" applyFill="1" applyBorder="1"/>
    <x:xf numFmtId="201" fontId="30" fillId="39" borderId="7" xfId="0" applyNumberFormat="1" applyFont="1" applyFill="1" applyBorder="1"/>
    <x:xf numFmtId="201" fontId="30" fillId="39" borderId="7" xfId="0" applyNumberFormat="1" applyFont="1" applyFill="1" applyBorder="1" applyAlignment="1">
      <x:alignment wrapText="0"/>
    </x:xf>
    <x:xf numFmtId="201" fontId="30" fillId="39" borderId="7" xfId="0" applyNumberFormat="1" applyFont="1" applyFill="1" applyBorder="1" applyAlignment="1">
      <x:alignment horizontal="right" wrapText="0"/>
    </x:xf>
    <x:xf numFmtId="201" fontId="30" fillId="39" borderId="7" xfId="0" applyNumberFormat="1" applyFont="1" applyFill="1" applyBorder="1" applyAlignment="1">
      <x:alignment horizontal="right" vertical="center" wrapText="0"/>
    </x:xf>
    <x:xf numFmtId="0" fontId="30" fillId="39" borderId="28" xfId="0" applyNumberFormat="1" applyFont="1" applyFill="1" applyBorder="1"/>
    <x:xf numFmtId="201" fontId="30" fillId="39" borderId="28" xfId="0" applyNumberFormat="1" applyFont="1" applyFill="1" applyBorder="1"/>
    <x:xf numFmtId="201" fontId="30" fillId="39" borderId="28" xfId="0" applyNumberFormat="1" applyFont="1" applyFill="1" applyBorder="1" applyAlignment="1">
      <x:alignment wrapText="0"/>
    </x:xf>
    <x:xf numFmtId="201" fontId="30" fillId="39" borderId="28" xfId="0" applyNumberFormat="1" applyFont="1" applyFill="1" applyBorder="1" applyAlignment="1">
      <x:alignment horizontal="right" wrapText="0"/>
    </x:xf>
    <x:xf numFmtId="201" fontId="30" fillId="39" borderId="28" xfId="0" applyNumberFormat="1" applyFont="1" applyFill="1" applyBorder="1" applyAlignment="1">
      <x:alignment horizontal="right" vertical="center" wrapText="0"/>
    </x:xf>
    <x:xf numFmtId="0" fontId="0" fillId="41" borderId="0" xfId="0" applyNumberFormat="1" applyFont="1" applyFill="1" applyBorder="1"/>
    <x:xf numFmtId="0" fontId="29" fillId="41" borderId="0" xfId="0" applyNumberFormat="1" applyFont="1" applyFill="1" applyBorder="1"/>
    <x:xf numFmtId="0" fontId="29" fillId="41" borderId="29" xfId="0" applyNumberFormat="1" applyFont="1" applyFill="1" applyBorder="1"/>
    <x:xf numFmtId="202" fontId="29" fillId="41" borderId="29" xfId="0" applyNumberFormat="1" applyFont="1" applyFill="1" applyBorder="1"/>
    <x:xf numFmtId="202" fontId="29" fillId="41" borderId="29" xfId="0" applyNumberFormat="1" applyFont="1" applyFill="1" applyBorder="1" applyAlignment="1">
      <x:alignment wrapText="1"/>
    </x:xf>
    <x:xf numFmtId="202" fontId="29" fillId="41" borderId="29" xfId="0" applyNumberFormat="1" applyFont="1" applyFill="1" applyBorder="1" applyAlignment="1">
      <x:alignment horizontal="left" wrapText="1"/>
    </x:xf>
    <x:xf numFmtId="202" fontId="29" fillId="41" borderId="29" xfId="0" applyNumberFormat="1" applyFont="1" applyFill="1" applyBorder="1" applyAlignment="1">
      <x:alignment horizontal="left" vertical="center" wrapText="1"/>
    </x:xf>
    <x:xf numFmtId="0" fontId="29" fillId="41" borderId="30" xfId="0" applyNumberFormat="1" applyFont="1" applyFill="1" applyBorder="1"/>
    <x:xf numFmtId="201" fontId="29" fillId="41" borderId="30" xfId="0" applyNumberFormat="1" applyFont="1" applyFill="1" applyBorder="1"/>
    <x:xf numFmtId="201" fontId="29" fillId="41" borderId="30" xfId="0" applyNumberFormat="1" applyFont="1" applyFill="1" applyBorder="1" applyAlignment="1">
      <x:alignment wrapText="0"/>
    </x:xf>
    <x:xf numFmtId="201" fontId="29" fillId="41" borderId="30" xfId="0" applyNumberFormat="1" applyFont="1" applyFill="1" applyBorder="1" applyAlignment="1">
      <x:alignment horizontal="right" wrapText="0"/>
    </x:xf>
    <x:xf numFmtId="201" fontId="29" fillId="41" borderId="30" xfId="0" applyNumberFormat="1" applyFont="1" applyFill="1" applyBorder="1" applyAlignment="1">
      <x:alignment horizontal="right" vertical="center" wrapText="0"/>
    </x:xf>
    <x:xf numFmtId="0" fontId="29" fillId="41" borderId="12" xfId="0" applyNumberFormat="1" applyFont="1" applyFill="1" applyBorder="1"/>
    <x:xf numFmtId="201" fontId="29" fillId="41" borderId="12" xfId="0" applyNumberFormat="1" applyFont="1" applyFill="1" applyBorder="1"/>
    <x:xf numFmtId="201" fontId="29" fillId="41" borderId="12" xfId="0" applyNumberFormat="1" applyFont="1" applyFill="1" applyBorder="1" applyAlignment="1">
      <x:alignment wrapText="0"/>
    </x:xf>
    <x:xf numFmtId="201" fontId="29" fillId="41" borderId="12" xfId="0" applyNumberFormat="1" applyFont="1" applyFill="1" applyBorder="1" applyAlignment="1">
      <x:alignment horizontal="right" wrapText="0"/>
    </x:xf>
    <x:xf numFmtId="201" fontId="29" fillId="41" borderId="12" xfId="0" applyNumberFormat="1" applyFont="1" applyFill="1" applyBorder="1" applyAlignment="1">
      <x:alignment horizontal="right" vertical="center" wrapText="0"/>
    </x:xf>
    <x:xf numFmtId="0" fontId="29" fillId="41" borderId="31" xfId="0" applyNumberFormat="1" applyFont="1" applyFill="1" applyBorder="1"/>
    <x:xf numFmtId="201" fontId="29" fillId="41" borderId="31" xfId="0" applyNumberFormat="1" applyFont="1" applyFill="1" applyBorder="1"/>
    <x:xf numFmtId="201" fontId="29" fillId="41" borderId="31" xfId="0" applyNumberFormat="1" applyFont="1" applyFill="1" applyBorder="1" applyAlignment="1">
      <x:alignment wrapText="0"/>
    </x:xf>
    <x:xf numFmtId="201" fontId="29" fillId="41" borderId="31" xfId="0" applyNumberFormat="1" applyFont="1" applyFill="1" applyBorder="1" applyAlignment="1">
      <x:alignment horizontal="right" wrapText="0"/>
    </x:xf>
    <x:xf numFmtId="201" fontId="29" fillId="41" borderId="31" xfId="0" applyNumberFormat="1" applyFont="1" applyFill="1" applyBorder="1" applyAlignment="1">
      <x:alignment horizontal="right" vertical="center" wrapText="0"/>
    </x:xf>
    <x:xf numFmtId="0" fontId="32" fillId="40" borderId="0" xfId="0" applyNumberFormat="1" applyFont="1" applyFill="1" applyBorder="1"/>
    <x:xf numFmtId="0" fontId="32" fillId="40" borderId="27" xfId="0" applyNumberFormat="1" applyFont="1" applyFill="1" applyBorder="1"/>
    <x:xf numFmtId="201" fontId="32" fillId="40" borderId="27" xfId="0" applyNumberFormat="1" applyFont="1" applyFill="1" applyBorder="1"/>
    <x:xf numFmtId="201" fontId="32" fillId="40" borderId="27" xfId="0" applyNumberFormat="1" applyFont="1" applyFill="1" applyBorder="1" applyAlignment="1">
      <x:alignment wrapText="0"/>
    </x:xf>
    <x:xf numFmtId="201" fontId="32" fillId="40" borderId="27" xfId="0" applyNumberFormat="1" applyFont="1" applyFill="1" applyBorder="1" applyAlignment="1">
      <x:alignment horizontal="right" wrapText="0"/>
    </x:xf>
    <x:xf numFmtId="201" fontId="32" fillId="40" borderId="27" xfId="0" applyNumberFormat="1" applyFont="1" applyFill="1" applyBorder="1" applyAlignment="1">
      <x:alignment horizontal="right" vertical="center" wrapText="0"/>
    </x:xf>
    <x:xf numFmtId="0" fontId="32" fillId="40" borderId="7" xfId="0" applyNumberFormat="1" applyFont="1" applyFill="1" applyBorder="1"/>
    <x:xf numFmtId="201" fontId="32" fillId="40" borderId="7" xfId="0" applyNumberFormat="1" applyFont="1" applyFill="1" applyBorder="1"/>
    <x:xf numFmtId="201" fontId="32" fillId="40" borderId="7" xfId="0" applyNumberFormat="1" applyFont="1" applyFill="1" applyBorder="1" applyAlignment="1">
      <x:alignment wrapText="0"/>
    </x:xf>
    <x:xf numFmtId="201" fontId="32" fillId="40" borderId="7" xfId="0" applyNumberFormat="1" applyFont="1" applyFill="1" applyBorder="1" applyAlignment="1">
      <x:alignment horizontal="right" wrapText="0"/>
    </x:xf>
    <x:xf numFmtId="201" fontId="32" fillId="40" borderId="7" xfId="0" applyNumberFormat="1" applyFont="1" applyFill="1" applyBorder="1" applyAlignment="1">
      <x:alignment horizontal="right" vertical="center" wrapText="0"/>
    </x:xf>
    <x:xf numFmtId="0" fontId="32" fillId="40" borderId="28" xfId="0" applyNumberFormat="1" applyFont="1" applyFill="1" applyBorder="1"/>
    <x:xf numFmtId="201" fontId="32" fillId="40" borderId="28" xfId="0" applyNumberFormat="1" applyFont="1" applyFill="1" applyBorder="1"/>
    <x:xf numFmtId="201" fontId="32" fillId="40" borderId="28" xfId="0" applyNumberFormat="1" applyFont="1" applyFill="1" applyBorder="1" applyAlignment="1">
      <x:alignment wrapText="0"/>
    </x:xf>
    <x:xf numFmtId="201" fontId="32" fillId="40" borderId="28" xfId="0" applyNumberFormat="1" applyFont="1" applyFill="1" applyBorder="1" applyAlignment="1">
      <x:alignment horizontal="right" wrapText="0"/>
    </x:xf>
    <x:xf numFmtId="201" fontId="32" fillId="40" borderId="28" xfId="0" applyNumberFormat="1" applyFont="1" applyFill="1" applyBorder="1" applyAlignment="1">
      <x:alignment horizontal="right" vertical="center" wrapText="0"/>
    </x:xf>
    <x:xf numFmtId="0" fontId="0" fillId="42" borderId="0" xfId="0" applyNumberFormat="1" applyFont="1" applyFill="1" applyBorder="1"/>
    <x:xf numFmtId="0" fontId="33" fillId="42" borderId="0" xfId="0" applyNumberFormat="1" applyFont="1" applyFill="1" applyBorder="1"/>
    <x:xf numFmtId="0" fontId="33" fillId="42" borderId="32" xfId="0" applyNumberFormat="1" applyFont="1" applyFill="1" applyBorder="1"/>
    <x:xf numFmtId="202" fontId="33" fillId="42" borderId="32" xfId="0" applyNumberFormat="1" applyFont="1" applyFill="1" applyBorder="1"/>
    <x:xf numFmtId="202" fontId="33" fillId="42" borderId="32" xfId="0" applyNumberFormat="1" applyFont="1" applyFill="1" applyBorder="1" applyAlignment="1">
      <x:alignment wrapText="1"/>
    </x:xf>
    <x:xf numFmtId="202" fontId="33" fillId="42" borderId="32" xfId="0" applyNumberFormat="1" applyFont="1" applyFill="1" applyBorder="1" applyAlignment="1">
      <x:alignment horizontal="left" wrapText="1"/>
    </x:xf>
    <x:xf numFmtId="202" fontId="33" fillId="42" borderId="32" xfId="0" applyNumberFormat="1" applyFont="1" applyFill="1" applyBorder="1" applyAlignment="1">
      <x:alignment horizontal="left" vertical="center" wrapText="1"/>
    </x:xf>
    <x:xf numFmtId="0" fontId="29" fillId="42" borderId="0" xfId="0" applyNumberFormat="1" applyFont="1" applyFill="1" applyBorder="1"/>
    <x:xf numFmtId="0" fontId="29" fillId="42" borderId="33" xfId="0" applyNumberFormat="1" applyFont="1" applyFill="1" applyBorder="1"/>
    <x:xf numFmtId="201" fontId="29" fillId="42" borderId="33" xfId="0" applyNumberFormat="1" applyFont="1" applyFill="1" applyBorder="1"/>
    <x:xf numFmtId="201" fontId="29" fillId="42" borderId="33" xfId="0" applyNumberFormat="1" applyFont="1" applyFill="1" applyBorder="1" applyAlignment="1">
      <x:alignment wrapText="0"/>
    </x:xf>
    <x:xf numFmtId="201" fontId="29" fillId="42" borderId="33" xfId="0" applyNumberFormat="1" applyFont="1" applyFill="1" applyBorder="1" applyAlignment="1">
      <x:alignment horizontal="right" wrapText="0"/>
    </x:xf>
    <x:xf numFmtId="201" fontId="29" fillId="42" borderId="33" xfId="0" applyNumberFormat="1" applyFont="1" applyFill="1" applyBorder="1" applyAlignment="1">
      <x:alignment horizontal="right" vertical="center" wrapText="0"/>
    </x:xf>
    <x:xf numFmtId="0" fontId="29" fillId="42" borderId="34" xfId="0" applyNumberFormat="1" applyFont="1" applyFill="1" applyBorder="1"/>
    <x:xf numFmtId="201" fontId="29" fillId="42" borderId="34" xfId="0" applyNumberFormat="1" applyFont="1" applyFill="1" applyBorder="1"/>
    <x:xf numFmtId="201" fontId="29" fillId="42" borderId="34" xfId="0" applyNumberFormat="1" applyFont="1" applyFill="1" applyBorder="1" applyAlignment="1">
      <x:alignment wrapText="0"/>
    </x:xf>
    <x:xf numFmtId="201" fontId="29" fillId="42" borderId="34" xfId="0" applyNumberFormat="1" applyFont="1" applyFill="1" applyBorder="1" applyAlignment="1">
      <x:alignment horizontal="right" wrapText="0"/>
    </x:xf>
    <x:xf numFmtId="201" fontId="29" fillId="42" borderId="34" xfId="0" applyNumberFormat="1" applyFont="1" applyFill="1" applyBorder="1" applyAlignment="1">
      <x:alignment horizontal="right" vertical="center" wrapText="0"/>
    </x:xf>
    <x:xf numFmtId="0" fontId="29" fillId="42" borderId="35" xfId="0" applyNumberFormat="1" applyFont="1" applyFill="1" applyBorder="1"/>
    <x:xf numFmtId="201" fontId="29" fillId="42" borderId="35" xfId="0" applyNumberFormat="1" applyFont="1" applyFill="1" applyBorder="1"/>
    <x:xf numFmtId="201" fontId="29" fillId="42" borderId="35" xfId="0" applyNumberFormat="1" applyFont="1" applyFill="1" applyBorder="1" applyAlignment="1">
      <x:alignment wrapText="0"/>
    </x:xf>
    <x:xf numFmtId="201" fontId="29" fillId="42" borderId="35" xfId="0" applyNumberFormat="1" applyFont="1" applyFill="1" applyBorder="1" applyAlignment="1">
      <x:alignment horizontal="right" wrapText="0"/>
    </x:xf>
    <x:xf numFmtId="201" fontId="29" fillId="42" borderId="35" xfId="0" applyNumberFormat="1" applyFont="1" applyFill="1" applyBorder="1" applyAlignment="1">
      <x:alignment horizontal="right" vertical="center" wrapText="0"/>
    </x:xf>
    <x:xf numFmtId="0" fontId="0" fillId="43" borderId="0" xfId="0" applyNumberFormat="1" applyFont="1" applyFill="1" applyBorder="1"/>
    <x:xf numFmtId="0" fontId="29" fillId="43" borderId="0" xfId="0" applyNumberFormat="1" applyFont="1" applyFill="1" applyBorder="1"/>
    <x:xf numFmtId="202" fontId="29" fillId="43" borderId="0" xfId="0" applyNumberFormat="1" applyFont="1" applyFill="1" applyBorder="1"/>
    <x:xf numFmtId="202" fontId="29" fillId="43" borderId="0" xfId="0" applyNumberFormat="1" applyFont="1" applyFill="1" applyBorder="1" applyAlignment="1">
      <x:alignment wrapText="0"/>
    </x:xf>
    <x:xf numFmtId="202" fontId="29" fillId="43" borderId="0" xfId="0" applyNumberFormat="1" applyFont="1" applyFill="1" applyBorder="1" applyAlignment="1">
      <x:alignment vertical="center" wrapText="0"/>
    </x:xf>
    <x:xf numFmtId="0" fontId="30" fillId="0" borderId="0" xfId="0" applyNumberFormat="1" applyFont="1" applyFill="1" applyBorder="1"/>
    <x:xf numFmtId="202" fontId="30" fillId="0" borderId="0" xfId="0" applyNumberFormat="1" applyFont="1" applyFill="1" applyBorder="1"/>
    <x:xf numFmtId="202" fontId="30" fillId="0" borderId="0" xfId="0" applyNumberFormat="1" applyFont="1" applyFill="1" applyBorder="1" applyAlignment="1">
      <x:alignment wrapText="0"/>
    </x:xf>
    <x:xf numFmtId="202" fontId="30" fillId="0" borderId="0" xfId="0" applyNumberFormat="1" applyFont="1" applyFill="1" applyBorder="1" applyAlignment="1">
      <x:alignment vertical="center" wrapText="0"/>
    </x:xf>
    <x:xf numFmtId="200" fontId="31" fillId="40" borderId="0" xfId="0" applyNumberFormat="1" applyFont="1" applyFill="1" applyBorder="1"/>
    <x:xf numFmtId="200" fontId="31" fillId="40" borderId="0" xfId="0" applyNumberFormat="1" applyFont="1" applyFill="1" applyBorder="1" applyAlignment="1">
      <x:alignment wrapText="0"/>
    </x:xf>
    <x:xf numFmtId="200" fontId="31" fillId="40" borderId="0" xfId="0" applyNumberFormat="1" applyFont="1" applyFill="1" applyBorder="1" applyAlignment="1">
      <x:alignment horizontal="right" wrapText="0"/>
    </x:xf>
    <x:xf numFmtId="200" fontId="31" fillId="40" borderId="0" xfId="0" applyNumberFormat="1" applyFont="1" applyFill="1" applyBorder="1" applyAlignment="1">
      <x:alignment horizontal="right" vertical="center" wrapText="0"/>
    </x:xf>
    <x:xf numFmtId="201" fontId="31" fillId="40" borderId="0" xfId="0" applyNumberFormat="1" applyFont="1" applyFill="1" applyBorder="1"/>
    <x:xf numFmtId="201" fontId="31" fillId="40" borderId="0" xfId="0" applyNumberFormat="1" applyFont="1" applyFill="1" applyBorder="1" applyAlignment="1">
      <x:alignment wrapText="0"/>
    </x:xf>
    <x:xf numFmtId="201" fontId="31" fillId="40" borderId="0" xfId="0" applyNumberFormat="1" applyFont="1" applyFill="1" applyBorder="1" applyAlignment="1">
      <x:alignment horizontal="right" wrapText="0"/>
    </x:xf>
    <x:xf numFmtId="201" fontId="31" fillId="40" borderId="0" xfId="0" applyNumberFormat="1" applyFont="1" applyFill="1" applyBorder="1" applyAlignment="1">
      <x:alignment horizontal="right" vertical="center" wrapText="0"/>
    </x:xf>
    <x:xf numFmtId="0" fontId="34" fillId="0" borderId="0" xfId="0" applyNumberFormat="1" applyFont="1" applyFill="1" applyBorder="1"/>
    <x:xf numFmtId="202" fontId="34" fillId="0" borderId="0" xfId="0" applyNumberFormat="1" applyFont="1" applyFill="1" applyBorder="1"/>
    <x:xf numFmtId="202" fontId="34" fillId="0" borderId="0" xfId="0" applyNumberFormat="1" applyFont="1" applyFill="1" applyBorder="1" applyAlignment="1">
      <x:alignment wrapText="0"/>
    </x:xf>
    <x:xf numFmtId="202" fontId="34" fillId="0" borderId="0" xfId="0" applyNumberFormat="1" applyFont="1" applyFill="1" applyBorder="1" applyAlignment="1">
      <x:alignment vertical="center" wrapText="0"/>
    </x:xf>
    <x:xf numFmtId="0" fontId="35" fillId="0" borderId="0" xfId="0" applyNumberFormat="1" applyFont="1" applyFill="1" applyBorder="1"/>
    <x:xf numFmtId="202" fontId="35" fillId="0" borderId="0" xfId="0" applyNumberFormat="1" applyFont="1" applyFill="1" applyBorder="1"/>
    <x:xf numFmtId="202" fontId="35" fillId="0" borderId="0" xfId="0" applyNumberFormat="1" applyFont="1" applyFill="1" applyBorder="1" applyAlignment="1">
      <x:alignment wrapText="1"/>
    </x:xf>
    <x:xf numFmtId="202" fontId="35" fillId="0" borderId="0" xfId="0" applyNumberFormat="1" applyFont="1" applyFill="1" applyBorder="1" applyAlignment="1">
      <x:alignment vertical="center" wrapText="1"/>
    </x:xf>
    <x:xf numFmtId="202" fontId="35" fillId="0" borderId="0" xfId="0" applyNumberFormat="1" applyFont="1" applyFill="1" applyBorder="1" applyAlignment="1">
      <x:alignment wrapText="0"/>
    </x:xf>
    <x:xf numFmtId="202" fontId="35" fillId="0" borderId="0" xfId="0" applyNumberFormat="1" applyFont="1" applyFill="1" applyBorder="1" applyAlignment="1">
      <x:alignment vertical="center" wrapText="0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67f2527747400c" /><Relationship Type="http://schemas.openxmlformats.org/officeDocument/2006/relationships/theme" Target="/xl/theme/theme1.xml" Id="R94744f40c2cc4190" /><Relationship Type="http://schemas.openxmlformats.org/officeDocument/2006/relationships/sharedStrings" Target="/xl/sharedStrings.xml" Id="R2f7662193b4b448d" /><Relationship Type="http://schemas.openxmlformats.org/officeDocument/2006/relationships/worksheet" Target="/xl/worksheets/sheet1.xml" Id="Ra491f66e513f4b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9E5036"/>
  </x:sheetPr>
  <x:sheetViews>
    <x:sheetView showGridLines="0" workbookViewId="0">
      <x:pane xSplit="1" ySplit="4" topLeftCell="B5" activePane="bottomRight" state="frozen"/>
    </x:sheetView>
  </x:sheetViews>
  <x:sheetFormatPr defaultColWidth="9" defaultRowHeight="22"/>
  <x:cols>
    <x:col min="1" max="1" width="38" customWidth="1"/>
    <x:col min="2" max="26" width="18" customWidth="1"/>
  </x:cols>
  <x:sheetData>
    <x:row r="1" ht="8" customHeight="1"/>
    <x:row r="2" ht="18" customHeight="1">
      <x:c r="A2" s="1" t="s">
        <x:v>0</x:v>
      </x:c>
      <x:c r="B2" s="2" t="s">
        <x:v>1</x:v>
      </x:c>
      <x:c r="C2" s="3"/>
      <x:c r="D2" s="3"/>
      <x:c r="E2" s="3"/>
      <x:c r="F2" s="4"/>
      <x:c r="G2" s="2" t="s">
        <x:v>2</x:v>
      </x:c>
      <x:c r="H2" s="3"/>
      <x:c r="I2" s="3"/>
      <x:c r="J2" s="3"/>
      <x:c r="K2" s="4"/>
      <x:c r="L2" s="2" t="s">
        <x:v>3</x:v>
      </x:c>
      <x:c r="M2" s="3"/>
      <x:c r="N2" s="3"/>
      <x:c r="O2" s="3"/>
      <x:c r="P2" s="4"/>
      <x:c r="Q2" s="2" t="s">
        <x:v>4</x:v>
      </x:c>
      <x:c r="R2" s="3"/>
      <x:c r="S2" s="3"/>
      <x:c r="T2" s="3"/>
      <x:c r="U2" s="4"/>
      <x:c r="V2" s="2" t="s">
        <x:v>5</x:v>
      </x:c>
      <x:c r="W2" s="3"/>
      <x:c r="X2" s="3"/>
      <x:c r="Y2" s="3"/>
      <x:c r="Z2" s="4"/>
    </x:row>
    <x:row r="3" ht="25" customHeight="1">
      <x:c r="A3" s="5"/>
      <x:c r="B3" s="6" t="s">
        <x:v>6</x:v>
      </x:c>
      <x:c r="C3" s="7" t="s">
        <x:v>7</x:v>
      </x:c>
      <x:c r="D3" s="7" t="s">
        <x:v>8</x:v>
      </x:c>
      <x:c r="E3" s="7" t="s">
        <x:v>9</x:v>
      </x:c>
      <x:c r="F3" s="8" t="s">
        <x:v>10</x:v>
      </x:c>
      <x:c r="G3" s="6" t="s">
        <x:v>6</x:v>
      </x:c>
      <x:c r="H3" s="7" t="s">
        <x:v>7</x:v>
      </x:c>
      <x:c r="I3" s="7" t="s">
        <x:v>8</x:v>
      </x:c>
      <x:c r="J3" s="7" t="s">
        <x:v>9</x:v>
      </x:c>
      <x:c r="K3" s="8" t="s">
        <x:v>10</x:v>
      </x:c>
      <x:c r="L3" s="6" t="s">
        <x:v>6</x:v>
      </x:c>
      <x:c r="M3" s="7" t="s">
        <x:v>7</x:v>
      </x:c>
      <x:c r="N3" s="7" t="s">
        <x:v>8</x:v>
      </x:c>
      <x:c r="O3" s="7" t="s">
        <x:v>9</x:v>
      </x:c>
      <x:c r="P3" s="8" t="s">
        <x:v>10</x:v>
      </x:c>
      <x:c r="Q3" s="6" t="s">
        <x:v>6</x:v>
      </x:c>
      <x:c r="R3" s="7" t="s">
        <x:v>7</x:v>
      </x:c>
      <x:c r="S3" s="7" t="s">
        <x:v>8</x:v>
      </x:c>
      <x:c r="T3" s="7" t="s">
        <x:v>9</x:v>
      </x:c>
      <x:c r="U3" s="8" t="s">
        <x:v>10</x:v>
      </x:c>
      <x:c r="V3" s="6" t="s">
        <x:v>6</x:v>
      </x:c>
      <x:c r="W3" s="7" t="s">
        <x:v>7</x:v>
      </x:c>
      <x:c r="X3" s="7" t="s">
        <x:v>8</x:v>
      </x:c>
      <x:c r="Y3" s="7" t="s">
        <x:v>9</x:v>
      </x:c>
      <x:c r="Z3" s="8" t="s">
        <x:v>10</x:v>
      </x:c>
    </x:row>
    <x:row r="4" ht="25" customHeight="1">
      <x:c r="A4" s="9"/>
      <x:c r="B4" s="6" t="s">
        <x:v>11</x:v>
      </x:c>
      <x:c r="C4" s="7" t="s">
        <x:v>11</x:v>
      </x:c>
      <x:c r="D4" s="7" t="s">
        <x:v>11</x:v>
      </x:c>
      <x:c r="E4" s="7" t="s">
        <x:v>11</x:v>
      </x:c>
      <x:c r="F4" s="8" t="s">
        <x:v>11</x:v>
      </x:c>
      <x:c r="G4" s="6" t="s">
        <x:v>11</x:v>
      </x:c>
      <x:c r="H4" s="7" t="s">
        <x:v>11</x:v>
      </x:c>
      <x:c r="I4" s="7" t="s">
        <x:v>11</x:v>
      </x:c>
      <x:c r="J4" s="7" t="s">
        <x:v>11</x:v>
      </x:c>
      <x:c r="K4" s="8" t="s">
        <x:v>11</x:v>
      </x:c>
      <x:c r="L4" s="6" t="s">
        <x:v>11</x:v>
      </x:c>
      <x:c r="M4" s="7" t="s">
        <x:v>11</x:v>
      </x:c>
      <x:c r="N4" s="7" t="s">
        <x:v>11</x:v>
      </x:c>
      <x:c r="O4" s="7" t="s">
        <x:v>11</x:v>
      </x:c>
      <x:c r="P4" s="8" t="s">
        <x:v>11</x:v>
      </x:c>
      <x:c r="Q4" s="6" t="s">
        <x:v>11</x:v>
      </x:c>
      <x:c r="R4" s="7" t="s">
        <x:v>11</x:v>
      </x:c>
      <x:c r="S4" s="7" t="s">
        <x:v>11</x:v>
      </x:c>
      <x:c r="T4" s="7" t="s">
        <x:v>11</x:v>
      </x:c>
      <x:c r="U4" s="8" t="s">
        <x:v>11</x:v>
      </x:c>
      <x:c r="V4" s="6" t="s">
        <x:v>11</x:v>
      </x:c>
      <x:c r="W4" s="7" t="s">
        <x:v>11</x:v>
      </x:c>
      <x:c r="X4" s="7" t="s">
        <x:v>11</x:v>
      </x:c>
      <x:c r="Y4" s="7" t="s">
        <x:v>11</x:v>
      </x:c>
      <x:c r="Z4" s="8" t="s">
        <x:v>11</x:v>
      </x:c>
    </x:row>
    <x:row r="5" ht="22" customHeight="1">
      <x:c r="A5" s="10" t="s">
        <x:v>12</x:v>
      </x:c>
      <x:c r="B5" s="39"/>
      <x:c r="C5" s="40"/>
      <x:c r="D5" s="40"/>
      <x:c r="E5" s="40"/>
      <x:c r="F5" s="41"/>
      <x:c r="G5" s="39"/>
      <x:c r="H5" s="40"/>
      <x:c r="I5" s="40"/>
      <x:c r="J5" s="40"/>
      <x:c r="K5" s="41"/>
      <x:c r="L5" s="39"/>
      <x:c r="M5" s="40"/>
      <x:c r="N5" s="40"/>
      <x:c r="O5" s="40"/>
      <x:c r="P5" s="41"/>
      <x:c r="Q5" s="39"/>
      <x:c r="R5" s="40"/>
      <x:c r="S5" s="40"/>
      <x:c r="T5" s="40"/>
      <x:c r="U5" s="41"/>
      <x:c r="V5" s="39"/>
      <x:c r="W5" s="40"/>
      <x:c r="X5" s="40"/>
      <x:c r="Y5" s="40"/>
      <x:c r="Z5" s="41"/>
    </x:row>
    <x:row r="6" ht="22" customHeight="1">
      <x:c r="A6" s="10" t="s">
        <x:v>13</x:v>
      </x:c>
      <x:c r="B6" s="14" t="n">
        <x:f>IF(SUM($B$5:$F$5)=0,0,B5/SUM($B$5:$F$5))</x:f>
        <x:v>0</x:v>
      </x:c>
      <x:c r="C6" s="15" t="n">
        <x:f>IF(SUM($B$5:$F$5)=0,0,C5/SUM($B$5:$F$5))</x:f>
        <x:v>0</x:v>
      </x:c>
      <x:c r="D6" s="15" t="n">
        <x:f>IF(SUM($B$5:$F$5)=0,0,D5/SUM($B$5:$F$5))</x:f>
        <x:v>0</x:v>
      </x:c>
      <x:c r="E6" s="15" t="n">
        <x:f>IF(SUM($B$5:$F$5)=0,0,E5/SUM($B$5:$F$5))</x:f>
        <x:v>0</x:v>
      </x:c>
      <x:c r="F6" s="16" t="n">
        <x:f>IF(SUM($B$5:$F$5)=0,0,F5/SUM($B$5:$F$5))</x:f>
        <x:v>0</x:v>
      </x:c>
      <x:c r="G6" s="14" t="n">
        <x:f>IF(SUM($G$5:$K$5)=0,0,G5/SUM($G$5:$K$5))</x:f>
        <x:v>0</x:v>
      </x:c>
      <x:c r="H6" s="15" t="n">
        <x:f>IF(SUM($G$5:$K$5)=0,0,H5/SUM($G$5:$K$5))</x:f>
        <x:v>0</x:v>
      </x:c>
      <x:c r="I6" s="15" t="n">
        <x:f>IF(SUM($G$5:$K$5)=0,0,I5/SUM($G$5:$K$5))</x:f>
        <x:v>0</x:v>
      </x:c>
      <x:c r="J6" s="15" t="n">
        <x:f>IF(SUM($G$5:$K$5)=0,0,J5/SUM($G$5:$K$5))</x:f>
        <x:v>0</x:v>
      </x:c>
      <x:c r="K6" s="16" t="n">
        <x:f>IF(SUM($G$5:$K$5)=0,0,K5/SUM($G$5:$K$5))</x:f>
        <x:v>0</x:v>
      </x:c>
      <x:c r="L6" s="14" t="n">
        <x:f>IF(SUM($L$5:$P$5)=0,0,L5/SUM($L$5:$P$5))</x:f>
        <x:v>0</x:v>
      </x:c>
      <x:c r="M6" s="15" t="n">
        <x:f>IF(SUM($L$5:$P$5)=0,0,M5/SUM($L$5:$P$5))</x:f>
        <x:v>0</x:v>
      </x:c>
      <x:c r="N6" s="15" t="n">
        <x:f>IF(SUM($L$5:$P$5)=0,0,N5/SUM($L$5:$P$5))</x:f>
        <x:v>0</x:v>
      </x:c>
      <x:c r="O6" s="15" t="n">
        <x:f>IF(SUM($L$5:$P$5)=0,0,O5/SUM($L$5:$P$5))</x:f>
        <x:v>0</x:v>
      </x:c>
      <x:c r="P6" s="16" t="n">
        <x:f>IF(SUM($L$5:$P$5)=0,0,P5/SUM($L$5:$P$5))</x:f>
        <x:v>0</x:v>
      </x:c>
      <x:c r="Q6" s="14" t="n">
        <x:f>IF(SUM($Q$5:$U$5)=0,0,Q5/SUM($Q$5:$U$5))</x:f>
        <x:v>0</x:v>
      </x:c>
      <x:c r="R6" s="15" t="n">
        <x:f>IF(SUM($Q$5:$U$5)=0,0,R5/SUM($Q$5:$U$5))</x:f>
        <x:v>0</x:v>
      </x:c>
      <x:c r="S6" s="15" t="n">
        <x:f>IF(SUM($Q$5:$U$5)=0,0,S5/SUM($Q$5:$U$5))</x:f>
        <x:v>0</x:v>
      </x:c>
      <x:c r="T6" s="15" t="n">
        <x:f>IF(SUM($Q$5:$U$5)=0,0,T5/SUM($Q$5:$U$5))</x:f>
        <x:v>0</x:v>
      </x:c>
      <x:c r="U6" s="16" t="n">
        <x:f>IF(SUM($Q$5:$U$5)=0,0,U5/SUM($Q$5:$U$5))</x:f>
        <x:v>0</x:v>
      </x:c>
      <x:c r="V6" s="14" t="n">
        <x:f>IF(SUM($V$5:$Z$5)=0,0,V5/SUM($V$5:$Z$5))</x:f>
        <x:v>0</x:v>
      </x:c>
      <x:c r="W6" s="15" t="n">
        <x:f>IF(SUM($V$5:$Z$5)=0,0,W5/SUM($V$5:$Z$5))</x:f>
        <x:v>0</x:v>
      </x:c>
      <x:c r="X6" s="15" t="n">
        <x:f>IF(SUM($V$5:$Z$5)=0,0,X5/SUM($V$5:$Z$5))</x:f>
        <x:v>0</x:v>
      </x:c>
      <x:c r="Y6" s="15" t="n">
        <x:f>IF(SUM($V$5:$Z$5)=0,0,Y5/SUM($V$5:$Z$5))</x:f>
        <x:v>0</x:v>
      </x:c>
      <x:c r="Z6" s="16" t="n">
        <x:f>IF(SUM($V$5:$Z$5)=0,0,Z5/SUM($V$5:$Z$5))</x:f>
        <x:v>0</x:v>
      </x:c>
    </x:row>
    <x:row r="7" ht="22" customHeight="1">
      <x:c r="A7" s="10" t="s">
        <x:v>14</x:v>
      </x:c>
      <x:c r="B7" s="45"/>
      <x:c r="C7" s="46"/>
      <x:c r="D7" s="46"/>
      <x:c r="E7" s="46"/>
      <x:c r="F7" s="47"/>
      <x:c r="G7" s="45"/>
      <x:c r="H7" s="46"/>
      <x:c r="I7" s="46"/>
      <x:c r="J7" s="46"/>
      <x:c r="K7" s="47"/>
      <x:c r="L7" s="45"/>
      <x:c r="M7" s="46"/>
      <x:c r="N7" s="46"/>
      <x:c r="O7" s="46"/>
      <x:c r="P7" s="47"/>
      <x:c r="Q7" s="45"/>
      <x:c r="R7" s="46"/>
      <x:c r="S7" s="46"/>
      <x:c r="T7" s="46"/>
      <x:c r="U7" s="47"/>
      <x:c r="V7" s="45"/>
      <x:c r="W7" s="46"/>
      <x:c r="X7" s="46"/>
      <x:c r="Y7" s="46"/>
      <x:c r="Z7" s="47"/>
    </x:row>
    <x:row r="8" ht="22" customHeight="1">
      <x:c r="A8" s="10" t="s">
        <x:v>15</x:v>
      </x:c>
      <x:c r="B8" s="17" t="n">
        <x:f>-B7/(1+B$72)*B$72</x:f>
        <x:v>0</x:v>
      </x:c>
      <x:c r="C8" s="18" t="n">
        <x:f>-C7/(1+C$72)*C$72</x:f>
        <x:v>0</x:v>
      </x:c>
      <x:c r="D8" s="18" t="n">
        <x:f>-D7/(1+D$72)*D$72</x:f>
        <x:v>0</x:v>
      </x:c>
      <x:c r="E8" s="18" t="n">
        <x:f>-E7/(1+E$72)*E$72</x:f>
        <x:v>0</x:v>
      </x:c>
      <x:c r="F8" s="19" t="n">
        <x:f>-F7/(1+F$72)*F$72</x:f>
        <x:v>0</x:v>
      </x:c>
      <x:c r="G8" s="17" t="n">
        <x:f>-G7/(1+G$72)*G$72</x:f>
        <x:v>0</x:v>
      </x:c>
      <x:c r="H8" s="18" t="n">
        <x:f>-H7/(1+H$72)*H$72</x:f>
        <x:v>0</x:v>
      </x:c>
      <x:c r="I8" s="18" t="n">
        <x:f>-I7/(1+I$72)*I$72</x:f>
        <x:v>0</x:v>
      </x:c>
      <x:c r="J8" s="18" t="n">
        <x:f>-J7/(1+J$72)*J$72</x:f>
        <x:v>0</x:v>
      </x:c>
      <x:c r="K8" s="19" t="n">
        <x:f>-K7/(1+K$72)*K$72</x:f>
        <x:v>0</x:v>
      </x:c>
      <x:c r="L8" s="17" t="n">
        <x:f>-L7/(1+L$72)*L$72</x:f>
        <x:v>0</x:v>
      </x:c>
      <x:c r="M8" s="18" t="n">
        <x:f>-M7/(1+M$72)*M$72</x:f>
        <x:v>0</x:v>
      </x:c>
      <x:c r="N8" s="18" t="n">
        <x:f>-N7/(1+N$72)*N$72</x:f>
        <x:v>0</x:v>
      </x:c>
      <x:c r="O8" s="18" t="n">
        <x:f>-O7/(1+O$72)*O$72</x:f>
        <x:v>0</x:v>
      </x:c>
      <x:c r="P8" s="19" t="n">
        <x:f>-P7/(1+P$72)*P$72</x:f>
        <x:v>0</x:v>
      </x:c>
      <x:c r="Q8" s="17" t="n">
        <x:f>-Q7/(1+Q$72)*Q$72</x:f>
        <x:v>0</x:v>
      </x:c>
      <x:c r="R8" s="18" t="n">
        <x:f>-R7/(1+R$72)*R$72</x:f>
        <x:v>0</x:v>
      </x:c>
      <x:c r="S8" s="18" t="n">
        <x:f>-S7/(1+S$72)*S$72</x:f>
        <x:v>0</x:v>
      </x:c>
      <x:c r="T8" s="18" t="n">
        <x:f>-T7/(1+T$72)*T$72</x:f>
        <x:v>0</x:v>
      </x:c>
      <x:c r="U8" s="19" t="n">
        <x:f>-U7/(1+U$72)*U$72</x:f>
        <x:v>0</x:v>
      </x:c>
      <x:c r="V8" s="17" t="n">
        <x:f>-V7/(1+V$72)*V$72</x:f>
        <x:v>0</x:v>
      </x:c>
      <x:c r="W8" s="18" t="n">
        <x:f>-W7/(1+W$72)*W$72</x:f>
        <x:v>0</x:v>
      </x:c>
      <x:c r="X8" s="18" t="n">
        <x:f>-X7/(1+X$72)*X$72</x:f>
        <x:v>0</x:v>
      </x:c>
      <x:c r="Y8" s="18" t="n">
        <x:f>-Y7/(1+Y$72)*Y$72</x:f>
        <x:v>0</x:v>
      </x:c>
      <x:c r="Z8" s="19" t="n">
        <x:f>-Z7/(1+Z$72)*Z$72</x:f>
        <x:v>0</x:v>
      </x:c>
    </x:row>
    <x:row r="9" ht="22" customHeight="1">
      <x:c r="A9" s="20" t="s">
        <x:v>16</x:v>
      </x:c>
      <x:c r="B9" s="21" t="n">
        <x:f>SUM(B10:B14)</x:f>
        <x:v>0</x:v>
      </x:c>
      <x:c r="C9" s="22" t="n">
        <x:f>SUM(C10:C14)</x:f>
        <x:v>0</x:v>
      </x:c>
      <x:c r="D9" s="22" t="n">
        <x:f>SUM(D10:D14)</x:f>
        <x:v>0</x:v>
      </x:c>
      <x:c r="E9" s="22" t="n">
        <x:f>SUM(E10:E14)</x:f>
        <x:v>0</x:v>
      </x:c>
      <x:c r="F9" s="23" t="n">
        <x:f>SUM(F10:F14)</x:f>
        <x:v>0</x:v>
      </x:c>
      <x:c r="G9" s="21" t="n">
        <x:f>SUM(G10:G14)</x:f>
        <x:v>0</x:v>
      </x:c>
      <x:c r="H9" s="22" t="n">
        <x:f>SUM(H10:H14)</x:f>
        <x:v>0</x:v>
      </x:c>
      <x:c r="I9" s="22" t="n">
        <x:f>SUM(I10:I14)</x:f>
        <x:v>0</x:v>
      </x:c>
      <x:c r="J9" s="22" t="n">
        <x:f>SUM(J10:J14)</x:f>
        <x:v>0</x:v>
      </x:c>
      <x:c r="K9" s="23" t="n">
        <x:f>SUM(K10:K14)</x:f>
        <x:v>0</x:v>
      </x:c>
      <x:c r="L9" s="21" t="n">
        <x:f>SUM(L10:L14)</x:f>
        <x:v>0</x:v>
      </x:c>
      <x:c r="M9" s="22" t="n">
        <x:f>SUM(M10:M14)</x:f>
        <x:v>0</x:v>
      </x:c>
      <x:c r="N9" s="22" t="n">
        <x:f>SUM(N10:N14)</x:f>
        <x:v>0</x:v>
      </x:c>
      <x:c r="O9" s="22" t="n">
        <x:f>SUM(O10:O14)</x:f>
        <x:v>0</x:v>
      </x:c>
      <x:c r="P9" s="23" t="n">
        <x:f>SUM(P10:P14)</x:f>
        <x:v>0</x:v>
      </x:c>
      <x:c r="Q9" s="21" t="n">
        <x:f>SUM(Q10:Q14)</x:f>
        <x:v>0</x:v>
      </x:c>
      <x:c r="R9" s="22" t="n">
        <x:f>SUM(R10:R14)</x:f>
        <x:v>0</x:v>
      </x:c>
      <x:c r="S9" s="22" t="n">
        <x:f>SUM(S10:S14)</x:f>
        <x:v>0</x:v>
      </x:c>
      <x:c r="T9" s="22" t="n">
        <x:f>SUM(T10:T14)</x:f>
        <x:v>0</x:v>
      </x:c>
      <x:c r="U9" s="23" t="n">
        <x:f>SUM(U10:U14)</x:f>
        <x:v>0</x:v>
      </x:c>
      <x:c r="V9" s="21" t="n">
        <x:f>SUM(V10:V14)</x:f>
        <x:v>0</x:v>
      </x:c>
      <x:c r="W9" s="22" t="n">
        <x:f>SUM(W10:W14)</x:f>
        <x:v>0</x:v>
      </x:c>
      <x:c r="X9" s="22" t="n">
        <x:f>SUM(X10:X14)</x:f>
        <x:v>0</x:v>
      </x:c>
      <x:c r="Y9" s="22" t="n">
        <x:f>SUM(Y10:Y14)</x:f>
        <x:v>0</x:v>
      </x:c>
      <x:c r="Z9" s="23" t="n">
        <x:f>SUM(Z10:Z14)</x:f>
        <x:v>0</x:v>
      </x:c>
    </x:row>
    <x:row r="10" ht="22" customHeight="1">
      <x:c r="A10" s="10" t="s">
        <x:v>17</x:v>
      </x:c>
      <x:c r="B10" s="45"/>
      <x:c r="C10" s="46"/>
      <x:c r="D10" s="46"/>
      <x:c r="E10" s="46"/>
      <x:c r="F10" s="47"/>
      <x:c r="G10" s="45"/>
      <x:c r="H10" s="46"/>
      <x:c r="I10" s="46"/>
      <x:c r="J10" s="46"/>
      <x:c r="K10" s="47"/>
      <x:c r="L10" s="45"/>
      <x:c r="M10" s="46"/>
      <x:c r="N10" s="46"/>
      <x:c r="O10" s="46"/>
      <x:c r="P10" s="47"/>
      <x:c r="Q10" s="45"/>
      <x:c r="R10" s="46"/>
      <x:c r="S10" s="46"/>
      <x:c r="T10" s="46"/>
      <x:c r="U10" s="47"/>
      <x:c r="V10" s="45"/>
      <x:c r="W10" s="46"/>
      <x:c r="X10" s="46"/>
      <x:c r="Y10" s="46"/>
      <x:c r="Z10" s="47"/>
    </x:row>
    <x:row r="11" ht="22" customHeight="1">
      <x:c r="A11" s="10" t="s">
        <x:v>18</x:v>
      </x:c>
      <x:c r="B11" s="45"/>
      <x:c r="C11" s="46"/>
      <x:c r="D11" s="46"/>
      <x:c r="E11" s="46"/>
      <x:c r="F11" s="47"/>
      <x:c r="G11" s="45"/>
      <x:c r="H11" s="46"/>
      <x:c r="I11" s="46"/>
      <x:c r="J11" s="46"/>
      <x:c r="K11" s="47"/>
      <x:c r="L11" s="45"/>
      <x:c r="M11" s="46"/>
      <x:c r="N11" s="46"/>
      <x:c r="O11" s="46"/>
      <x:c r="P11" s="47"/>
      <x:c r="Q11" s="45"/>
      <x:c r="R11" s="46"/>
      <x:c r="S11" s="46"/>
      <x:c r="T11" s="46"/>
      <x:c r="U11" s="47"/>
      <x:c r="V11" s="45"/>
      <x:c r="W11" s="46"/>
      <x:c r="X11" s="46"/>
      <x:c r="Y11" s="46"/>
      <x:c r="Z11" s="47"/>
    </x:row>
    <x:row r="12" ht="22" customHeight="1">
      <x:c r="A12" s="10" t="s">
        <x:v>19</x:v>
      </x:c>
      <x:c r="B12" s="45"/>
      <x:c r="C12" s="46"/>
      <x:c r="D12" s="46"/>
      <x:c r="E12" s="46"/>
      <x:c r="F12" s="47"/>
      <x:c r="G12" s="45"/>
      <x:c r="H12" s="46"/>
      <x:c r="I12" s="46"/>
      <x:c r="J12" s="46"/>
      <x:c r="K12" s="47"/>
      <x:c r="L12" s="45"/>
      <x:c r="M12" s="46"/>
      <x:c r="N12" s="46"/>
      <x:c r="O12" s="46"/>
      <x:c r="P12" s="47"/>
      <x:c r="Q12" s="45"/>
      <x:c r="R12" s="46"/>
      <x:c r="S12" s="46"/>
      <x:c r="T12" s="46"/>
      <x:c r="U12" s="47"/>
      <x:c r="V12" s="45"/>
      <x:c r="W12" s="46"/>
      <x:c r="X12" s="46"/>
      <x:c r="Y12" s="46"/>
      <x:c r="Z12" s="47"/>
    </x:row>
    <x:row r="13" ht="22" customHeight="1">
      <x:c r="A13" s="10" t="s">
        <x:v>20</x:v>
      </x:c>
      <x:c r="B13" s="45"/>
      <x:c r="C13" s="46"/>
      <x:c r="D13" s="46"/>
      <x:c r="E13" s="46"/>
      <x:c r="F13" s="47"/>
      <x:c r="G13" s="45"/>
      <x:c r="H13" s="46"/>
      <x:c r="I13" s="46"/>
      <x:c r="J13" s="46"/>
      <x:c r="K13" s="47"/>
      <x:c r="L13" s="45"/>
      <x:c r="M13" s="46"/>
      <x:c r="N13" s="46"/>
      <x:c r="O13" s="46"/>
      <x:c r="P13" s="47"/>
      <x:c r="Q13" s="45"/>
      <x:c r="R13" s="46"/>
      <x:c r="S13" s="46"/>
      <x:c r="T13" s="46"/>
      <x:c r="U13" s="47"/>
      <x:c r="V13" s="45"/>
      <x:c r="W13" s="46"/>
      <x:c r="X13" s="46"/>
      <x:c r="Y13" s="46"/>
      <x:c r="Z13" s="47"/>
    </x:row>
    <x:row r="14" ht="22" customHeight="1">
      <x:c r="A14" s="10" t="s">
        <x:v>21</x:v>
      </x:c>
      <x:c r="B14" s="45"/>
      <x:c r="C14" s="46"/>
      <x:c r="D14" s="46"/>
      <x:c r="E14" s="46"/>
      <x:c r="F14" s="47"/>
      <x:c r="G14" s="45"/>
      <x:c r="H14" s="46"/>
      <x:c r="I14" s="46"/>
      <x:c r="J14" s="46"/>
      <x:c r="K14" s="47"/>
      <x:c r="L14" s="45"/>
      <x:c r="M14" s="46"/>
      <x:c r="N14" s="46"/>
      <x:c r="O14" s="46"/>
      <x:c r="P14" s="47"/>
      <x:c r="Q14" s="45"/>
      <x:c r="R14" s="46"/>
      <x:c r="S14" s="46"/>
      <x:c r="T14" s="46"/>
      <x:c r="U14" s="47"/>
      <x:c r="V14" s="45"/>
      <x:c r="W14" s="46"/>
      <x:c r="X14" s="46"/>
      <x:c r="Y14" s="46"/>
      <x:c r="Z14" s="47"/>
    </x:row>
    <x:row r="15" ht="24" customHeight="1">
      <x:c r="A15" s="24" t="s">
        <x:v>22</x:v>
      </x:c>
      <x:c r="B15" s="25" t="n">
        <x:f>SUM(B7:B9)</x:f>
        <x:v>0</x:v>
      </x:c>
      <x:c r="C15" s="26" t="n">
        <x:f>SUM(C7:C9)</x:f>
        <x:v>0</x:v>
      </x:c>
      <x:c r="D15" s="26" t="n">
        <x:f>SUM(D7:D9)</x:f>
        <x:v>0</x:v>
      </x:c>
      <x:c r="E15" s="26" t="n">
        <x:f>SUM(E7:E9)</x:f>
        <x:v>0</x:v>
      </x:c>
      <x:c r="F15" s="27" t="n">
        <x:f>SUM(F7:F9)</x:f>
        <x:v>0</x:v>
      </x:c>
      <x:c r="G15" s="25" t="n">
        <x:f>SUM(G7:G9)</x:f>
        <x:v>0</x:v>
      </x:c>
      <x:c r="H15" s="26" t="n">
        <x:f>SUM(H7:H9)</x:f>
        <x:v>0</x:v>
      </x:c>
      <x:c r="I15" s="26" t="n">
        <x:f>SUM(I7:I9)</x:f>
        <x:v>0</x:v>
      </x:c>
      <x:c r="J15" s="26" t="n">
        <x:f>SUM(J7:J9)</x:f>
        <x:v>0</x:v>
      </x:c>
      <x:c r="K15" s="27" t="n">
        <x:f>SUM(K7:K9)</x:f>
        <x:v>0</x:v>
      </x:c>
      <x:c r="L15" s="25" t="n">
        <x:f>SUM(L7:L9)</x:f>
        <x:v>0</x:v>
      </x:c>
      <x:c r="M15" s="26" t="n">
        <x:f>SUM(M7:M9)</x:f>
        <x:v>0</x:v>
      </x:c>
      <x:c r="N15" s="26" t="n">
        <x:f>SUM(N7:N9)</x:f>
        <x:v>0</x:v>
      </x:c>
      <x:c r="O15" s="26" t="n">
        <x:f>SUM(O7:O9)</x:f>
        <x:v>0</x:v>
      </x:c>
      <x:c r="P15" s="27" t="n">
        <x:f>SUM(P7:P9)</x:f>
        <x:v>0</x:v>
      </x:c>
      <x:c r="Q15" s="25" t="n">
        <x:f>SUM(Q7:Q9)</x:f>
        <x:v>0</x:v>
      </x:c>
      <x:c r="R15" s="26" t="n">
        <x:f>SUM(R7:R9)</x:f>
        <x:v>0</x:v>
      </x:c>
      <x:c r="S15" s="26" t="n">
        <x:f>SUM(S7:S9)</x:f>
        <x:v>0</x:v>
      </x:c>
      <x:c r="T15" s="26" t="n">
        <x:f>SUM(T7:T9)</x:f>
        <x:v>0</x:v>
      </x:c>
      <x:c r="U15" s="27" t="n">
        <x:f>SUM(U7:U9)</x:f>
        <x:v>0</x:v>
      </x:c>
      <x:c r="V15" s="25" t="n">
        <x:f>SUM(V7:V9)</x:f>
        <x:v>0</x:v>
      </x:c>
      <x:c r="W15" s="26" t="n">
        <x:f>SUM(W7:W9)</x:f>
        <x:v>0</x:v>
      </x:c>
      <x:c r="X15" s="26" t="n">
        <x:f>SUM(X7:X9)</x:f>
        <x:v>0</x:v>
      </x:c>
      <x:c r="Y15" s="26" t="n">
        <x:f>SUM(Y7:Y9)</x:f>
        <x:v>0</x:v>
      </x:c>
      <x:c r="Z15" s="27" t="n">
        <x:f>SUM(Z7:Z9)</x:f>
        <x:v>0</x:v>
      </x:c>
    </x:row>
    <x:row r="16" ht="24" customHeight="1">
      <x:c r="A16" s="24" t="s">
        <x:v>23</x:v>
      </x:c>
      <x:c r="B16" s="25" t="n">
        <x:f>SUM(B17,B21,B25,B37,B42:B43,B48)</x:f>
        <x:v>0</x:v>
      </x:c>
      <x:c r="C16" s="26" t="n">
        <x:f>SUM(C17,C21,C25,C37,C42:C43,C48)</x:f>
        <x:v>0</x:v>
      </x:c>
      <x:c r="D16" s="26" t="n">
        <x:f>SUM(D17,D21,D25,D37,D42:D43,D48)</x:f>
        <x:v>0</x:v>
      </x:c>
      <x:c r="E16" s="26" t="n">
        <x:f>SUM(E17,E21,E25,E37,E42:E43,E48)</x:f>
        <x:v>0</x:v>
      </x:c>
      <x:c r="F16" s="27" t="n">
        <x:f>SUM(F17,F21,F25,F37,F42:F43,F48)</x:f>
        <x:v>0</x:v>
      </x:c>
      <x:c r="G16" s="25" t="n">
        <x:f>SUM(G17,G21,G25,G37,G42:G43,G48)</x:f>
        <x:v>0</x:v>
      </x:c>
      <x:c r="H16" s="26" t="n">
        <x:f>SUM(H17,H21,H25,H37,H42:H43,H48)</x:f>
        <x:v>0</x:v>
      </x:c>
      <x:c r="I16" s="26" t="n">
        <x:f>SUM(I17,I21,I25,I37,I42:I43,I48)</x:f>
        <x:v>0</x:v>
      </x:c>
      <x:c r="J16" s="26" t="n">
        <x:f>SUM(J17,J21,J25,J37,J42:J43,J48)</x:f>
        <x:v>0</x:v>
      </x:c>
      <x:c r="K16" s="27" t="n">
        <x:f>SUM(K17,K21,K25,K37,K42:K43,K48)</x:f>
        <x:v>0</x:v>
      </x:c>
      <x:c r="L16" s="25" t="n">
        <x:f>SUM(L17,L21,L25,L37,L42:L43,L48)</x:f>
        <x:v>0</x:v>
      </x:c>
      <x:c r="M16" s="26" t="n">
        <x:f>SUM(M17,M21,M25,M37,M42:M43,M48)</x:f>
        <x:v>0</x:v>
      </x:c>
      <x:c r="N16" s="26" t="n">
        <x:f>SUM(N17,N21,N25,N37,N42:N43,N48)</x:f>
        <x:v>0</x:v>
      </x:c>
      <x:c r="O16" s="26" t="n">
        <x:f>SUM(O17,O21,O25,O37,O42:O43,O48)</x:f>
        <x:v>0</x:v>
      </x:c>
      <x:c r="P16" s="27" t="n">
        <x:f>SUM(P17,P21,P25,P37,P42:P43,P48)</x:f>
        <x:v>0</x:v>
      </x:c>
      <x:c r="Q16" s="25" t="n">
        <x:f>SUM(Q17,Q21,Q25,Q37,Q42:Q43,Q48)</x:f>
        <x:v>0</x:v>
      </x:c>
      <x:c r="R16" s="26" t="n">
        <x:f>SUM(R17,R21,R25,R37,R42:R43,R48)</x:f>
        <x:v>0</x:v>
      </x:c>
      <x:c r="S16" s="26" t="n">
        <x:f>SUM(S17,S21,S25,S37,S42:S43,S48)</x:f>
        <x:v>0</x:v>
      </x:c>
      <x:c r="T16" s="26" t="n">
        <x:f>SUM(T17,T21,T25,T37,T42:T43,T48)</x:f>
        <x:v>0</x:v>
      </x:c>
      <x:c r="U16" s="27" t="n">
        <x:f>SUM(U17,U21,U25,U37,U42:U43,U48)</x:f>
        <x:v>0</x:v>
      </x:c>
      <x:c r="V16" s="25" t="n">
        <x:f>SUM(V17,V21,V25,V37,V42:V43,V48)</x:f>
        <x:v>0</x:v>
      </x:c>
      <x:c r="W16" s="26" t="n">
        <x:f>SUM(W17,W21,W25,W37,W42:W43,W48)</x:f>
        <x:v>0</x:v>
      </x:c>
      <x:c r="X16" s="26" t="n">
        <x:f>SUM(X17,X21,X25,X37,X42:X43,X48)</x:f>
        <x:v>0</x:v>
      </x:c>
      <x:c r="Y16" s="26" t="n">
        <x:f>SUM(Y17,Y21,Y25,Y37,Y42:Y43,Y48)</x:f>
        <x:v>0</x:v>
      </x:c>
      <x:c r="Z16" s="27" t="n">
        <x:f>SUM(Z17,Z21,Z25,Z37,Z42:Z43,Z48)</x:f>
        <x:v>0</x:v>
      </x:c>
    </x:row>
    <x:row r="17" ht="22" customHeight="1">
      <x:c r="A17" s="81" t="str">
        <x:v>BOM成本总额</x:v>
      </x:c>
      <x:c r="B17" s="86" t="n">
        <x:f>SUM(B18:B20)</x:f>
        <x:v>0</x:v>
      </x:c>
      <x:c r="C17" s="91" t="n">
        <x:f>SUM(C18:C20)</x:f>
        <x:v>0</x:v>
      </x:c>
      <x:c r="D17" s="91" t="n">
        <x:f>SUM(D18:D20)</x:f>
        <x:v>0</x:v>
      </x:c>
      <x:c r="E17" s="91" t="n">
        <x:f>SUM(E18:E20)</x:f>
        <x:v>0</x:v>
      </x:c>
      <x:c r="F17" s="96" t="n">
        <x:f>SUM(F18:F20)</x:f>
        <x:v>0</x:v>
      </x:c>
      <x:c r="G17" s="86" t="n">
        <x:f>SUM(G18:G20)</x:f>
        <x:v>0</x:v>
      </x:c>
      <x:c r="H17" s="91" t="n">
        <x:f>SUM(H18:H20)</x:f>
        <x:v>0</x:v>
      </x:c>
      <x:c r="I17" s="91" t="n">
        <x:f>SUM(I18:I20)</x:f>
        <x:v>0</x:v>
      </x:c>
      <x:c r="J17" s="91" t="n">
        <x:f>SUM(J18:J20)</x:f>
        <x:v>0</x:v>
      </x:c>
      <x:c r="K17" s="96" t="n">
        <x:f>SUM(K18:K20)</x:f>
        <x:v>0</x:v>
      </x:c>
      <x:c r="L17" s="86" t="n">
        <x:f>SUM(L18:L20)</x:f>
        <x:v>0</x:v>
      </x:c>
      <x:c r="M17" s="91" t="n">
        <x:f>SUM(M18:M20)</x:f>
        <x:v>0</x:v>
      </x:c>
      <x:c r="N17" s="91" t="n">
        <x:f>SUM(N18:N20)</x:f>
        <x:v>0</x:v>
      </x:c>
      <x:c r="O17" s="91" t="n">
        <x:f>SUM(O18:O20)</x:f>
        <x:v>0</x:v>
      </x:c>
      <x:c r="P17" s="96" t="n">
        <x:f>SUM(P18:P20)</x:f>
        <x:v>0</x:v>
      </x:c>
      <x:c r="Q17" s="86" t="n">
        <x:f>SUM(Q18:Q20)</x:f>
        <x:v>0</x:v>
      </x:c>
      <x:c r="R17" s="91" t="n">
        <x:f>SUM(R18:R20)</x:f>
        <x:v>0</x:v>
      </x:c>
      <x:c r="S17" s="91" t="n">
        <x:f>SUM(S18:S20)</x:f>
        <x:v>0</x:v>
      </x:c>
      <x:c r="T17" s="91" t="n">
        <x:f>SUM(T18:T20)</x:f>
        <x:v>0</x:v>
      </x:c>
      <x:c r="U17" s="96" t="n">
        <x:f>SUM(U18:U20)</x:f>
        <x:v>0</x:v>
      </x:c>
      <x:c r="V17" s="86" t="n">
        <x:f>SUM(V18:V20)</x:f>
        <x:v>0</x:v>
      </x:c>
      <x:c r="W17" s="91" t="n">
        <x:f>SUM(W18:W20)</x:f>
        <x:v>0</x:v>
      </x:c>
      <x:c r="X17" s="91" t="n">
        <x:f>SUM(X18:X20)</x:f>
        <x:v>0</x:v>
      </x:c>
      <x:c r="Y17" s="91" t="n">
        <x:f>SUM(Y18:Y20)</x:f>
        <x:v>0</x:v>
      </x:c>
      <x:c r="Z17" s="96" t="n">
        <x:f>SUM(Z18:Z20)</x:f>
        <x:v>0</x:v>
      </x:c>
    </x:row>
    <x:row r="18" ht="22" customHeight="1">
      <x:c r="A18" s="102" t="str">
        <x:v>BOM成本</x:v>
      </x:c>
      <x:c r="B18" s="109"/>
      <x:c r="C18" s="114"/>
      <x:c r="D18" s="114"/>
      <x:c r="E18" s="114"/>
      <x:c r="F18" s="119"/>
      <x:c r="G18" s="109"/>
      <x:c r="H18" s="114"/>
      <x:c r="I18" s="114"/>
      <x:c r="J18" s="114"/>
      <x:c r="K18" s="119"/>
      <x:c r="L18" s="109"/>
      <x:c r="M18" s="114"/>
      <x:c r="N18" s="114"/>
      <x:c r="O18" s="114"/>
      <x:c r="P18" s="119"/>
      <x:c r="Q18" s="109"/>
      <x:c r="R18" s="114"/>
      <x:c r="S18" s="114"/>
      <x:c r="T18" s="114"/>
      <x:c r="U18" s="119"/>
      <x:c r="V18" s="109"/>
      <x:c r="W18" s="114"/>
      <x:c r="X18" s="114"/>
      <x:c r="Y18" s="114"/>
      <x:c r="Z18" s="119"/>
    </x:row>
    <x:row r="19" ht="22" customHeight="1">
      <x:c r="A19" s="102" t="str">
        <x:v>- BOM成本（赠送配置）</x:v>
      </x:c>
      <x:c r="B19" s="109"/>
      <x:c r="C19" s="114"/>
      <x:c r="D19" s="114"/>
      <x:c r="E19" s="114"/>
      <x:c r="F19" s="119"/>
      <x:c r="G19" s="109"/>
      <x:c r="H19" s="114"/>
      <x:c r="I19" s="114"/>
      <x:c r="J19" s="114"/>
      <x:c r="K19" s="119"/>
      <x:c r="L19" s="109"/>
      <x:c r="M19" s="114"/>
      <x:c r="N19" s="114"/>
      <x:c r="O19" s="114"/>
      <x:c r="P19" s="119"/>
      <x:c r="Q19" s="109"/>
      <x:c r="R19" s="114"/>
      <x:c r="S19" s="114"/>
      <x:c r="T19" s="114"/>
      <x:c r="U19" s="119"/>
      <x:c r="V19" s="109"/>
      <x:c r="W19" s="114"/>
      <x:c r="X19" s="114"/>
      <x:c r="Y19" s="114"/>
      <x:c r="Z19" s="119"/>
    </x:row>
    <x:row r="20" ht="22" customHeight="1">
      <x:c r="A20" s="102" t="str">
        <x:v>- 供应商模具转固分摊成本</x:v>
      </x:c>
      <x:c r="B20" s="109"/>
      <x:c r="C20" s="114"/>
      <x:c r="D20" s="114"/>
      <x:c r="E20" s="114"/>
      <x:c r="F20" s="119"/>
      <x:c r="G20" s="109"/>
      <x:c r="H20" s="114"/>
      <x:c r="I20" s="114"/>
      <x:c r="J20" s="114"/>
      <x:c r="K20" s="119"/>
      <x:c r="L20" s="109"/>
      <x:c r="M20" s="114"/>
      <x:c r="N20" s="114"/>
      <x:c r="O20" s="114"/>
      <x:c r="P20" s="119"/>
      <x:c r="Q20" s="109"/>
      <x:c r="R20" s="114"/>
      <x:c r="S20" s="114"/>
      <x:c r="T20" s="114"/>
      <x:c r="U20" s="119"/>
      <x:c r="V20" s="109"/>
      <x:c r="W20" s="114"/>
      <x:c r="X20" s="114"/>
      <x:c r="Y20" s="114"/>
      <x:c r="Z20" s="119"/>
    </x:row>
    <x:row r="21" ht="22" customHeight="1">
      <x:c r="A21" s="81" t="str">
        <x:v>税金</x:v>
      </x:c>
      <x:c r="B21" s="86" t="n">
        <x:f>SUM(B22:B24)</x:f>
        <x:v>0</x:v>
      </x:c>
      <x:c r="C21" s="91" t="n">
        <x:f>SUM(C22:C24)</x:f>
        <x:v>0</x:v>
      </x:c>
      <x:c r="D21" s="91" t="n">
        <x:f>SUM(D22:D24)</x:f>
        <x:v>0</x:v>
      </x:c>
      <x:c r="E21" s="91" t="n">
        <x:f>SUM(E22:E24)</x:f>
        <x:v>0</x:v>
      </x:c>
      <x:c r="F21" s="96" t="n">
        <x:f>SUM(F22:F24)</x:f>
        <x:v>0</x:v>
      </x:c>
      <x:c r="G21" s="86" t="n">
        <x:f>SUM(G22:G24)</x:f>
        <x:v>0</x:v>
      </x:c>
      <x:c r="H21" s="91" t="n">
        <x:f>SUM(H22:H24)</x:f>
        <x:v>0</x:v>
      </x:c>
      <x:c r="I21" s="91" t="n">
        <x:f>SUM(I22:I24)</x:f>
        <x:v>0</x:v>
      </x:c>
      <x:c r="J21" s="91" t="n">
        <x:f>SUM(J22:J24)</x:f>
        <x:v>0</x:v>
      </x:c>
      <x:c r="K21" s="96" t="n">
        <x:f>SUM(K22:K24)</x:f>
        <x:v>0</x:v>
      </x:c>
      <x:c r="L21" s="86" t="n">
        <x:f>SUM(L22:L24)</x:f>
        <x:v>0</x:v>
      </x:c>
      <x:c r="M21" s="91" t="n">
        <x:f>SUM(M22:M24)</x:f>
        <x:v>0</x:v>
      </x:c>
      <x:c r="N21" s="91" t="n">
        <x:f>SUM(N22:N24)</x:f>
        <x:v>0</x:v>
      </x:c>
      <x:c r="O21" s="91" t="n">
        <x:f>SUM(O22:O24)</x:f>
        <x:v>0</x:v>
      </x:c>
      <x:c r="P21" s="96" t="n">
        <x:f>SUM(P22:P24)</x:f>
        <x:v>0</x:v>
      </x:c>
      <x:c r="Q21" s="86" t="n">
        <x:f>SUM(Q22:Q24)</x:f>
        <x:v>0</x:v>
      </x:c>
      <x:c r="R21" s="91" t="n">
        <x:f>SUM(R22:R24)</x:f>
        <x:v>0</x:v>
      </x:c>
      <x:c r="S21" s="91" t="n">
        <x:f>SUM(S22:S24)</x:f>
        <x:v>0</x:v>
      </x:c>
      <x:c r="T21" s="91" t="n">
        <x:f>SUM(T22:T24)</x:f>
        <x:v>0</x:v>
      </x:c>
      <x:c r="U21" s="96" t="n">
        <x:f>SUM(U22:U24)</x:f>
        <x:v>0</x:v>
      </x:c>
      <x:c r="V21" s="86" t="n">
        <x:f>SUM(V22:V24)</x:f>
        <x:v>0</x:v>
      </x:c>
      <x:c r="W21" s="91" t="n">
        <x:f>SUM(W22:W24)</x:f>
        <x:v>0</x:v>
      </x:c>
      <x:c r="X21" s="91" t="n">
        <x:f>SUM(X22:X24)</x:f>
        <x:v>0</x:v>
      </x:c>
      <x:c r="Y21" s="91" t="n">
        <x:f>SUM(Y22:Y24)</x:f>
        <x:v>0</x:v>
      </x:c>
      <x:c r="Z21" s="96" t="n">
        <x:f>SUM(Z22:Z24)</x:f>
        <x:v>0</x:v>
      </x:c>
    </x:row>
    <x:row r="22" ht="22" customHeight="1">
      <x:c r="A22" s="102" t="str">
        <x:v>-关税</x:v>
      </x:c>
      <x:c r="B22" s="124" t="n">
        <x:f>-B$75*B$76</x:f>
        <x:v>0</x:v>
      </x:c>
      <x:c r="C22" s="129" t="n">
        <x:f>-C$75*C$76</x:f>
        <x:v>0</x:v>
      </x:c>
      <x:c r="D22" s="129" t="n">
        <x:f>-D$75*D$76</x:f>
        <x:v>0</x:v>
      </x:c>
      <x:c r="E22" s="129" t="n">
        <x:f>-E$75*E$76</x:f>
        <x:v>0</x:v>
      </x:c>
      <x:c r="F22" s="134" t="n">
        <x:f>-F$75*F$76</x:f>
        <x:v>0</x:v>
      </x:c>
      <x:c r="G22" s="124" t="n">
        <x:f>-G$75*G$76</x:f>
        <x:v>0</x:v>
      </x:c>
      <x:c r="H22" s="129" t="n">
        <x:f>-H$75*H$76</x:f>
        <x:v>0</x:v>
      </x:c>
      <x:c r="I22" s="129" t="n">
        <x:f>-I$75*I$76</x:f>
        <x:v>0</x:v>
      </x:c>
      <x:c r="J22" s="129" t="n">
        <x:f>-J$75*J$76</x:f>
        <x:v>0</x:v>
      </x:c>
      <x:c r="K22" s="134" t="n">
        <x:f>-K$75*K$76</x:f>
        <x:v>0</x:v>
      </x:c>
      <x:c r="L22" s="124" t="n">
        <x:f>-L$75*L$76</x:f>
        <x:v>0</x:v>
      </x:c>
      <x:c r="M22" s="129" t="n">
        <x:f>-M$75*M$76</x:f>
        <x:v>0</x:v>
      </x:c>
      <x:c r="N22" s="129" t="n">
        <x:f>-N$75*N$76</x:f>
        <x:v>0</x:v>
      </x:c>
      <x:c r="O22" s="129" t="n">
        <x:f>-O$75*O$76</x:f>
        <x:v>0</x:v>
      </x:c>
      <x:c r="P22" s="134" t="n">
        <x:f>-P$75*P$76</x:f>
        <x:v>0</x:v>
      </x:c>
      <x:c r="Q22" s="124" t="n">
        <x:f>-Q$75*Q$76</x:f>
        <x:v>0</x:v>
      </x:c>
      <x:c r="R22" s="129" t="n">
        <x:f>-R$75*R$76</x:f>
        <x:v>0</x:v>
      </x:c>
      <x:c r="S22" s="129" t="n">
        <x:f>-S$75*S$76</x:f>
        <x:v>0</x:v>
      </x:c>
      <x:c r="T22" s="129" t="n">
        <x:f>-T$75*T$76</x:f>
        <x:v>0</x:v>
      </x:c>
      <x:c r="U22" s="134" t="n">
        <x:f>-U$75*U$76</x:f>
        <x:v>0</x:v>
      </x:c>
      <x:c r="V22" s="124" t="n">
        <x:f>-V$75*V$76</x:f>
        <x:v>0</x:v>
      </x:c>
      <x:c r="W22" s="129" t="n">
        <x:f>-W$75*W$76</x:f>
        <x:v>0</x:v>
      </x:c>
      <x:c r="X22" s="129" t="n">
        <x:f>-X$75*X$76</x:f>
        <x:v>0</x:v>
      </x:c>
      <x:c r="Y22" s="129" t="n">
        <x:f>-Y$75*Y$76</x:f>
        <x:v>0</x:v>
      </x:c>
      <x:c r="Z22" s="134" t="n">
        <x:f>-Z$75*Z$76</x:f>
        <x:v>0</x:v>
      </x:c>
    </x:row>
    <x:row r="23" ht="22" customHeight="1">
      <x:c r="A23" s="102" t="str">
        <x:v>-消费税</x:v>
      </x:c>
      <x:c r="B23" s="124" t="n">
        <x:f>-B15*B$73</x:f>
        <x:v>0</x:v>
      </x:c>
      <x:c r="C23" s="129" t="n">
        <x:f>-C15*C$73</x:f>
        <x:v>0</x:v>
      </x:c>
      <x:c r="D23" s="129" t="n">
        <x:f>-D15*D$73</x:f>
        <x:v>0</x:v>
      </x:c>
      <x:c r="E23" s="129" t="n">
        <x:f>-E15*E$73</x:f>
        <x:v>0</x:v>
      </x:c>
      <x:c r="F23" s="134" t="n">
        <x:f>-F15*F$73</x:f>
        <x:v>0</x:v>
      </x:c>
      <x:c r="G23" s="124" t="n">
        <x:f>-G15*G$73</x:f>
        <x:v>0</x:v>
      </x:c>
      <x:c r="H23" s="129" t="n">
        <x:f>-H15*H$73</x:f>
        <x:v>0</x:v>
      </x:c>
      <x:c r="I23" s="129" t="n">
        <x:f>-I15*I$73</x:f>
        <x:v>0</x:v>
      </x:c>
      <x:c r="J23" s="129" t="n">
        <x:f>-J15*J$73</x:f>
        <x:v>0</x:v>
      </x:c>
      <x:c r="K23" s="134" t="n">
        <x:f>-K15*K$73</x:f>
        <x:v>0</x:v>
      </x:c>
      <x:c r="L23" s="124" t="n">
        <x:f>-L15*L$73</x:f>
        <x:v>0</x:v>
      </x:c>
      <x:c r="M23" s="129" t="n">
        <x:f>-M15*M$73</x:f>
        <x:v>0</x:v>
      </x:c>
      <x:c r="N23" s="129" t="n">
        <x:f>-N15*N$73</x:f>
        <x:v>0</x:v>
      </x:c>
      <x:c r="O23" s="129" t="n">
        <x:f>-O15*O$73</x:f>
        <x:v>0</x:v>
      </x:c>
      <x:c r="P23" s="134" t="n">
        <x:f>-P15*P$73</x:f>
        <x:v>0</x:v>
      </x:c>
      <x:c r="Q23" s="124" t="n">
        <x:f>-Q15*Q$73</x:f>
        <x:v>0</x:v>
      </x:c>
      <x:c r="R23" s="129" t="n">
        <x:f>-R15*R$73</x:f>
        <x:v>0</x:v>
      </x:c>
      <x:c r="S23" s="129" t="n">
        <x:f>-S15*S$73</x:f>
        <x:v>0</x:v>
      </x:c>
      <x:c r="T23" s="129" t="n">
        <x:f>-T15*T$73</x:f>
        <x:v>0</x:v>
      </x:c>
      <x:c r="U23" s="134" t="n">
        <x:f>-U15*U$73</x:f>
        <x:v>0</x:v>
      </x:c>
      <x:c r="V23" s="124" t="n">
        <x:f>-V15*V$73</x:f>
        <x:v>0</x:v>
      </x:c>
      <x:c r="W23" s="129" t="n">
        <x:f>-W15*W$73</x:f>
        <x:v>0</x:v>
      </x:c>
      <x:c r="X23" s="129" t="n">
        <x:f>-X15*X$73</x:f>
        <x:v>0</x:v>
      </x:c>
      <x:c r="Y23" s="129" t="n">
        <x:f>-Y15*Y$73</x:f>
        <x:v>0</x:v>
      </x:c>
      <x:c r="Z23" s="134" t="n">
        <x:f>-Z15*Z$73</x:f>
        <x:v>0</x:v>
      </x:c>
    </x:row>
    <x:row r="24" ht="22" customHeight="1">
      <x:c r="A24" s="102" t="str">
        <x:v>-城建税及教育附加税</x:v>
      </x:c>
      <x:c r="B24" s="124" t="n">
        <x:f>(MIN(0,B8-B17*B$72)+B23)*B$74</x:f>
        <x:v>0</x:v>
      </x:c>
      <x:c r="C24" s="129" t="n">
        <x:f>(MIN(0,C8-C17*C$72)+C23)*C$74</x:f>
        <x:v>0</x:v>
      </x:c>
      <x:c r="D24" s="129" t="n">
        <x:f>(MIN(0,D8-D17*D$72)+D23)*D$74</x:f>
        <x:v>0</x:v>
      </x:c>
      <x:c r="E24" s="129" t="n">
        <x:f>(MIN(0,E8-E17*E$72)+E23)*E$74</x:f>
        <x:v>0</x:v>
      </x:c>
      <x:c r="F24" s="134" t="n">
        <x:f>(MIN(0,F8-F17*F$72)+F23)*F$74</x:f>
        <x:v>0</x:v>
      </x:c>
      <x:c r="G24" s="124" t="n">
        <x:f>(MIN(0,G8-G17*G$72)+G23)*G$74</x:f>
        <x:v>0</x:v>
      </x:c>
      <x:c r="H24" s="129" t="n">
        <x:f>(MIN(0,H8-H17*H$72)+H23)*H$74</x:f>
        <x:v>0</x:v>
      </x:c>
      <x:c r="I24" s="129" t="n">
        <x:f>(MIN(0,I8-I17*I$72)+I23)*I$74</x:f>
        <x:v>0</x:v>
      </x:c>
      <x:c r="J24" s="129" t="n">
        <x:f>(MIN(0,J8-J17*J$72)+J23)*J$74</x:f>
        <x:v>0</x:v>
      </x:c>
      <x:c r="K24" s="134" t="n">
        <x:f>(MIN(0,K8-K17*K$72)+K23)*K$74</x:f>
        <x:v>0</x:v>
      </x:c>
      <x:c r="L24" s="124" t="n">
        <x:f>(MIN(0,L8-L17*L$72)+L23)*L$74</x:f>
        <x:v>0</x:v>
      </x:c>
      <x:c r="M24" s="129" t="n">
        <x:f>(MIN(0,M8-M17*M$72)+M23)*M$74</x:f>
        <x:v>0</x:v>
      </x:c>
      <x:c r="N24" s="129" t="n">
        <x:f>(MIN(0,N8-N17*N$72)+N23)*N$74</x:f>
        <x:v>0</x:v>
      </x:c>
      <x:c r="O24" s="129" t="n">
        <x:f>(MIN(0,O8-O17*O$72)+O23)*O$74</x:f>
        <x:v>0</x:v>
      </x:c>
      <x:c r="P24" s="134" t="n">
        <x:f>(MIN(0,P8-P17*P$72)+P23)*P$74</x:f>
        <x:v>0</x:v>
      </x:c>
      <x:c r="Q24" s="124" t="n">
        <x:f>(MIN(0,Q8-Q17*Q$72)+Q23)*Q$74</x:f>
        <x:v>0</x:v>
      </x:c>
      <x:c r="R24" s="129" t="n">
        <x:f>(MIN(0,R8-R17*R$72)+R23)*R$74</x:f>
        <x:v>0</x:v>
      </x:c>
      <x:c r="S24" s="129" t="n">
        <x:f>(MIN(0,S8-S17*S$72)+S23)*S$74</x:f>
        <x:v>0</x:v>
      </x:c>
      <x:c r="T24" s="129" t="n">
        <x:f>(MIN(0,T8-T17*T$72)+T23)*T$74</x:f>
        <x:v>0</x:v>
      </x:c>
      <x:c r="U24" s="134" t="n">
        <x:f>(MIN(0,U8-U17*U$72)+U23)*U$74</x:f>
        <x:v>0</x:v>
      </x:c>
      <x:c r="V24" s="124" t="n">
        <x:f>(MIN(0,V8-V17*V$72)+V23)*V$74</x:f>
        <x:v>0</x:v>
      </x:c>
      <x:c r="W24" s="129" t="n">
        <x:f>(MIN(0,W8-W17*W$72)+W23)*W$74</x:f>
        <x:v>0</x:v>
      </x:c>
      <x:c r="X24" s="129" t="n">
        <x:f>(MIN(0,X8-X17*X$72)+X23)*X$74</x:f>
        <x:v>0</x:v>
      </x:c>
      <x:c r="Y24" s="129" t="n">
        <x:f>(MIN(0,Y8-Y17*Y$72)+Y23)*Y$74</x:f>
        <x:v>0</x:v>
      </x:c>
      <x:c r="Z24" s="134" t="n">
        <x:f>(MIN(0,Z8-Z17*Z$72)+Z23)*Z$74</x:f>
        <x:v>0</x:v>
      </x:c>
    </x:row>
    <x:row r="25" ht="22" customHeight="1">
      <x:c r="A25" s="81" t="str">
        <x:v>制造费用</x:v>
      </x:c>
      <x:c r="B25" s="86" t="n">
        <x:f>SUM(B26,B31)</x:f>
        <x:v>0</x:v>
      </x:c>
      <x:c r="C25" s="91" t="n">
        <x:f>SUM(C26,C31)</x:f>
        <x:v>0</x:v>
      </x:c>
      <x:c r="D25" s="91" t="n">
        <x:f>SUM(D26,D31)</x:f>
        <x:v>0</x:v>
      </x:c>
      <x:c r="E25" s="91" t="n">
        <x:f>SUM(E26,E31)</x:f>
        <x:v>0</x:v>
      </x:c>
      <x:c r="F25" s="96" t="n">
        <x:f>SUM(F26,F31)</x:f>
        <x:v>0</x:v>
      </x:c>
      <x:c r="G25" s="86" t="n">
        <x:f>SUM(G26,G31)</x:f>
        <x:v>0</x:v>
      </x:c>
      <x:c r="H25" s="91" t="n">
        <x:f>SUM(H26,H31)</x:f>
        <x:v>0</x:v>
      </x:c>
      <x:c r="I25" s="91" t="n">
        <x:f>SUM(I26,I31)</x:f>
        <x:v>0</x:v>
      </x:c>
      <x:c r="J25" s="91" t="n">
        <x:f>SUM(J26,J31)</x:f>
        <x:v>0</x:v>
      </x:c>
      <x:c r="K25" s="96" t="n">
        <x:f>SUM(K26,K31)</x:f>
        <x:v>0</x:v>
      </x:c>
      <x:c r="L25" s="86" t="n">
        <x:f>SUM(L26,L31)</x:f>
        <x:v>0</x:v>
      </x:c>
      <x:c r="M25" s="91" t="n">
        <x:f>SUM(M26,M31)</x:f>
        <x:v>0</x:v>
      </x:c>
      <x:c r="N25" s="91" t="n">
        <x:f>SUM(N26,N31)</x:f>
        <x:v>0</x:v>
      </x:c>
      <x:c r="O25" s="91" t="n">
        <x:f>SUM(O26,O31)</x:f>
        <x:v>0</x:v>
      </x:c>
      <x:c r="P25" s="96" t="n">
        <x:f>SUM(P26,P31)</x:f>
        <x:v>0</x:v>
      </x:c>
      <x:c r="Q25" s="86" t="n">
        <x:f>SUM(Q26,Q31)</x:f>
        <x:v>0</x:v>
      </x:c>
      <x:c r="R25" s="91" t="n">
        <x:f>SUM(R26,R31)</x:f>
        <x:v>0</x:v>
      </x:c>
      <x:c r="S25" s="91" t="n">
        <x:f>SUM(S26,S31)</x:f>
        <x:v>0</x:v>
      </x:c>
      <x:c r="T25" s="91" t="n">
        <x:f>SUM(T26,T31)</x:f>
        <x:v>0</x:v>
      </x:c>
      <x:c r="U25" s="96" t="n">
        <x:f>SUM(U26,U31)</x:f>
        <x:v>0</x:v>
      </x:c>
      <x:c r="V25" s="86" t="n">
        <x:f>SUM(V26,V31)</x:f>
        <x:v>0</x:v>
      </x:c>
      <x:c r="W25" s="91" t="n">
        <x:f>SUM(W26,W31)</x:f>
        <x:v>0</x:v>
      </x:c>
      <x:c r="X25" s="91" t="n">
        <x:f>SUM(X26,X31)</x:f>
        <x:v>0</x:v>
      </x:c>
      <x:c r="Y25" s="91" t="n">
        <x:f>SUM(Y26,Y31)</x:f>
        <x:v>0</x:v>
      </x:c>
      <x:c r="Z25" s="96" t="n">
        <x:f>SUM(Z26,Z31)</x:f>
        <x:v>0</x:v>
      </x:c>
    </x:row>
    <x:row r="26" ht="22" customHeight="1">
      <x:c r="A26" s="81" t="str">
        <x:v>固定费用</x:v>
      </x:c>
      <x:c r="B26" s="86" t="n">
        <x:f>SUM(B27:B30)</x:f>
        <x:v>0</x:v>
      </x:c>
      <x:c r="C26" s="91" t="n">
        <x:f>SUM(C27:C30)</x:f>
        <x:v>0</x:v>
      </x:c>
      <x:c r="D26" s="91" t="n">
        <x:f>SUM(D27:D30)</x:f>
        <x:v>0</x:v>
      </x:c>
      <x:c r="E26" s="91" t="n">
        <x:f>SUM(E27:E30)</x:f>
        <x:v>0</x:v>
      </x:c>
      <x:c r="F26" s="96" t="n">
        <x:f>SUM(F27:F30)</x:f>
        <x:v>0</x:v>
      </x:c>
      <x:c r="G26" s="86" t="n">
        <x:f>SUM(G27:G30)</x:f>
        <x:v>0</x:v>
      </x:c>
      <x:c r="H26" s="91" t="n">
        <x:f>SUM(H27:H30)</x:f>
        <x:v>0</x:v>
      </x:c>
      <x:c r="I26" s="91" t="n">
        <x:f>SUM(I27:I30)</x:f>
        <x:v>0</x:v>
      </x:c>
      <x:c r="J26" s="91" t="n">
        <x:f>SUM(J27:J30)</x:f>
        <x:v>0</x:v>
      </x:c>
      <x:c r="K26" s="96" t="n">
        <x:f>SUM(K27:K30)</x:f>
        <x:v>0</x:v>
      </x:c>
      <x:c r="L26" s="86" t="n">
        <x:f>SUM(L27:L30)</x:f>
        <x:v>0</x:v>
      </x:c>
      <x:c r="M26" s="91" t="n">
        <x:f>SUM(M27:M30)</x:f>
        <x:v>0</x:v>
      </x:c>
      <x:c r="N26" s="91" t="n">
        <x:f>SUM(N27:N30)</x:f>
        <x:v>0</x:v>
      </x:c>
      <x:c r="O26" s="91" t="n">
        <x:f>SUM(O27:O30)</x:f>
        <x:v>0</x:v>
      </x:c>
      <x:c r="P26" s="96" t="n">
        <x:f>SUM(P27:P30)</x:f>
        <x:v>0</x:v>
      </x:c>
      <x:c r="Q26" s="86" t="n">
        <x:f>SUM(Q27:Q30)</x:f>
        <x:v>0</x:v>
      </x:c>
      <x:c r="R26" s="91" t="n">
        <x:f>SUM(R27:R30)</x:f>
        <x:v>0</x:v>
      </x:c>
      <x:c r="S26" s="91" t="n">
        <x:f>SUM(S27:S30)</x:f>
        <x:v>0</x:v>
      </x:c>
      <x:c r="T26" s="91" t="n">
        <x:f>SUM(T27:T30)</x:f>
        <x:v>0</x:v>
      </x:c>
      <x:c r="U26" s="96" t="n">
        <x:f>SUM(U27:U30)</x:f>
        <x:v>0</x:v>
      </x:c>
      <x:c r="V26" s="86" t="n">
        <x:f>SUM(V27:V30)</x:f>
        <x:v>0</x:v>
      </x:c>
      <x:c r="W26" s="91" t="n">
        <x:f>SUM(W27:W30)</x:f>
        <x:v>0</x:v>
      </x:c>
      <x:c r="X26" s="91" t="n">
        <x:f>SUM(X27:X30)</x:f>
        <x:v>0</x:v>
      </x:c>
      <x:c r="Y26" s="91" t="n">
        <x:f>SUM(Y27:Y30)</x:f>
        <x:v>0</x:v>
      </x:c>
      <x:c r="Z26" s="96" t="n">
        <x:f>SUM(Z27:Z30)</x:f>
        <x:v>0</x:v>
      </x:c>
    </x:row>
    <x:row r="27" ht="22" customHeight="1">
      <x:c r="A27" s="102" t="str">
        <x:v>-人工成本-固定</x:v>
      </x:c>
      <x:c r="B27" s="109"/>
      <x:c r="C27" s="114"/>
      <x:c r="D27" s="114"/>
      <x:c r="E27" s="114"/>
      <x:c r="F27" s="119"/>
      <x:c r="G27" s="109"/>
      <x:c r="H27" s="114"/>
      <x:c r="I27" s="114"/>
      <x:c r="J27" s="114"/>
      <x:c r="K27" s="119"/>
      <x:c r="L27" s="109"/>
      <x:c r="M27" s="114"/>
      <x:c r="N27" s="114"/>
      <x:c r="O27" s="114"/>
      <x:c r="P27" s="119"/>
      <x:c r="Q27" s="109"/>
      <x:c r="R27" s="114"/>
      <x:c r="S27" s="114"/>
      <x:c r="T27" s="114"/>
      <x:c r="U27" s="119"/>
      <x:c r="V27" s="109"/>
      <x:c r="W27" s="114"/>
      <x:c r="X27" s="114"/>
      <x:c r="Y27" s="114"/>
      <x:c r="Z27" s="119"/>
    </x:row>
    <x:row r="28" ht="22" customHeight="1">
      <x:c r="A28" s="102" t="str">
        <x:v>-折旧摊销-固定</x:v>
      </x:c>
      <x:c r="B28" s="109"/>
      <x:c r="C28" s="114"/>
      <x:c r="D28" s="114"/>
      <x:c r="E28" s="114"/>
      <x:c r="F28" s="119"/>
      <x:c r="G28" s="109"/>
      <x:c r="H28" s="114"/>
      <x:c r="I28" s="114"/>
      <x:c r="J28" s="114"/>
      <x:c r="K28" s="119"/>
      <x:c r="L28" s="109"/>
      <x:c r="M28" s="114"/>
      <x:c r="N28" s="114"/>
      <x:c r="O28" s="114"/>
      <x:c r="P28" s="119"/>
      <x:c r="Q28" s="109"/>
      <x:c r="R28" s="114"/>
      <x:c r="S28" s="114"/>
      <x:c r="T28" s="114"/>
      <x:c r="U28" s="119"/>
      <x:c r="V28" s="109"/>
      <x:c r="W28" s="114"/>
      <x:c r="X28" s="114"/>
      <x:c r="Y28" s="114"/>
      <x:c r="Z28" s="119"/>
    </x:row>
    <x:row r="29" ht="22" customHeight="1">
      <x:c r="A29" s="102" t="str">
        <x:v>-行政费用</x:v>
      </x:c>
      <x:c r="B29" s="109"/>
      <x:c r="C29" s="114"/>
      <x:c r="D29" s="114"/>
      <x:c r="E29" s="114"/>
      <x:c r="F29" s="119"/>
      <x:c r="G29" s="109"/>
      <x:c r="H29" s="114"/>
      <x:c r="I29" s="114"/>
      <x:c r="J29" s="114"/>
      <x:c r="K29" s="119"/>
      <x:c r="L29" s="109"/>
      <x:c r="M29" s="114"/>
      <x:c r="N29" s="114"/>
      <x:c r="O29" s="114"/>
      <x:c r="P29" s="119"/>
      <x:c r="Q29" s="109"/>
      <x:c r="R29" s="114"/>
      <x:c r="S29" s="114"/>
      <x:c r="T29" s="114"/>
      <x:c r="U29" s="119"/>
      <x:c r="V29" s="109"/>
      <x:c r="W29" s="114"/>
      <x:c r="X29" s="114"/>
      <x:c r="Y29" s="114"/>
      <x:c r="Z29" s="119"/>
    </x:row>
    <x:row r="30" ht="22" customHeight="1">
      <x:c r="A30" s="102" t="str">
        <x:v>-其它</x:v>
      </x:c>
      <x:c r="B30" s="109"/>
      <x:c r="C30" s="114"/>
      <x:c r="D30" s="114"/>
      <x:c r="E30" s="114"/>
      <x:c r="F30" s="119"/>
      <x:c r="G30" s="109"/>
      <x:c r="H30" s="114"/>
      <x:c r="I30" s="114"/>
      <x:c r="J30" s="114"/>
      <x:c r="K30" s="119"/>
      <x:c r="L30" s="109"/>
      <x:c r="M30" s="114"/>
      <x:c r="N30" s="114"/>
      <x:c r="O30" s="114"/>
      <x:c r="P30" s="119"/>
      <x:c r="Q30" s="109"/>
      <x:c r="R30" s="114"/>
      <x:c r="S30" s="114"/>
      <x:c r="T30" s="114"/>
      <x:c r="U30" s="119"/>
      <x:c r="V30" s="109"/>
      <x:c r="W30" s="114"/>
      <x:c r="X30" s="114"/>
      <x:c r="Y30" s="114"/>
      <x:c r="Z30" s="119"/>
    </x:row>
    <x:row r="31" ht="22" customHeight="1">
      <x:c r="A31" s="81" t="str">
        <x:v>变动费用</x:v>
      </x:c>
      <x:c r="B31" s="86" t="n">
        <x:f>SUM(B32:B36)</x:f>
        <x:v>0</x:v>
      </x:c>
      <x:c r="C31" s="91" t="n">
        <x:f>SUM(C32:C36)</x:f>
        <x:v>0</x:v>
      </x:c>
      <x:c r="D31" s="91" t="n">
        <x:f>SUM(D32:D36)</x:f>
        <x:v>0</x:v>
      </x:c>
      <x:c r="E31" s="91" t="n">
        <x:f>SUM(E32:E36)</x:f>
        <x:v>0</x:v>
      </x:c>
      <x:c r="F31" s="96" t="n">
        <x:f>SUM(F32:F36)</x:f>
        <x:v>0</x:v>
      </x:c>
      <x:c r="G31" s="86" t="n">
        <x:f>SUM(G32:G36)</x:f>
        <x:v>0</x:v>
      </x:c>
      <x:c r="H31" s="91" t="n">
        <x:f>SUM(H32:H36)</x:f>
        <x:v>0</x:v>
      </x:c>
      <x:c r="I31" s="91" t="n">
        <x:f>SUM(I32:I36)</x:f>
        <x:v>0</x:v>
      </x:c>
      <x:c r="J31" s="91" t="n">
        <x:f>SUM(J32:J36)</x:f>
        <x:v>0</x:v>
      </x:c>
      <x:c r="K31" s="96" t="n">
        <x:f>SUM(K32:K36)</x:f>
        <x:v>0</x:v>
      </x:c>
      <x:c r="L31" s="86" t="n">
        <x:f>SUM(L32:L36)</x:f>
        <x:v>0</x:v>
      </x:c>
      <x:c r="M31" s="91" t="n">
        <x:f>SUM(M32:M36)</x:f>
        <x:v>0</x:v>
      </x:c>
      <x:c r="N31" s="91" t="n">
        <x:f>SUM(N32:N36)</x:f>
        <x:v>0</x:v>
      </x:c>
      <x:c r="O31" s="91" t="n">
        <x:f>SUM(O32:O36)</x:f>
        <x:v>0</x:v>
      </x:c>
      <x:c r="P31" s="96" t="n">
        <x:f>SUM(P32:P36)</x:f>
        <x:v>0</x:v>
      </x:c>
      <x:c r="Q31" s="86" t="n">
        <x:f>SUM(Q32:Q36)</x:f>
        <x:v>0</x:v>
      </x:c>
      <x:c r="R31" s="91" t="n">
        <x:f>SUM(R32:R36)</x:f>
        <x:v>0</x:v>
      </x:c>
      <x:c r="S31" s="91" t="n">
        <x:f>SUM(S32:S36)</x:f>
        <x:v>0</x:v>
      </x:c>
      <x:c r="T31" s="91" t="n">
        <x:f>SUM(T32:T36)</x:f>
        <x:v>0</x:v>
      </x:c>
      <x:c r="U31" s="96" t="n">
        <x:f>SUM(U32:U36)</x:f>
        <x:v>0</x:v>
      </x:c>
      <x:c r="V31" s="86" t="n">
        <x:f>SUM(V32:V36)</x:f>
        <x:v>0</x:v>
      </x:c>
      <x:c r="W31" s="91" t="n">
        <x:f>SUM(W32:W36)</x:f>
        <x:v>0</x:v>
      </x:c>
      <x:c r="X31" s="91" t="n">
        <x:f>SUM(X32:X36)</x:f>
        <x:v>0</x:v>
      </x:c>
      <x:c r="Y31" s="91" t="n">
        <x:f>SUM(Y32:Y36)</x:f>
        <x:v>0</x:v>
      </x:c>
      <x:c r="Z31" s="96" t="n">
        <x:f>SUM(Z32:Z36)</x:f>
        <x:v>0</x:v>
      </x:c>
    </x:row>
    <x:row r="32" ht="22" customHeight="1">
      <x:c r="A32" s="102" t="str">
        <x:v>-人工成本-加班费</x:v>
      </x:c>
      <x:c r="B32" s="109"/>
      <x:c r="C32" s="114"/>
      <x:c r="D32" s="114"/>
      <x:c r="E32" s="114"/>
      <x:c r="F32" s="119"/>
      <x:c r="G32" s="109"/>
      <x:c r="H32" s="114"/>
      <x:c r="I32" s="114"/>
      <x:c r="J32" s="114"/>
      <x:c r="K32" s="119"/>
      <x:c r="L32" s="109"/>
      <x:c r="M32" s="114"/>
      <x:c r="N32" s="114"/>
      <x:c r="O32" s="114"/>
      <x:c r="P32" s="119"/>
      <x:c r="Q32" s="109"/>
      <x:c r="R32" s="114"/>
      <x:c r="S32" s="114"/>
      <x:c r="T32" s="114"/>
      <x:c r="U32" s="119"/>
      <x:c r="V32" s="109"/>
      <x:c r="W32" s="114"/>
      <x:c r="X32" s="114"/>
      <x:c r="Y32" s="114"/>
      <x:c r="Z32" s="119"/>
    </x:row>
    <x:row r="33" ht="22" customHeight="1">
      <x:c r="A33" s="102" t="str">
        <x:v>-燃动成本</x:v>
      </x:c>
      <x:c r="B33" s="109"/>
      <x:c r="C33" s="114"/>
      <x:c r="D33" s="114"/>
      <x:c r="E33" s="114"/>
      <x:c r="F33" s="119"/>
      <x:c r="G33" s="109"/>
      <x:c r="H33" s="114"/>
      <x:c r="I33" s="114"/>
      <x:c r="J33" s="114"/>
      <x:c r="K33" s="119"/>
      <x:c r="L33" s="109"/>
      <x:c r="M33" s="114"/>
      <x:c r="N33" s="114"/>
      <x:c r="O33" s="114"/>
      <x:c r="P33" s="119"/>
      <x:c r="Q33" s="109"/>
      <x:c r="R33" s="114"/>
      <x:c r="S33" s="114"/>
      <x:c r="T33" s="114"/>
      <x:c r="U33" s="119"/>
      <x:c r="V33" s="109"/>
      <x:c r="W33" s="114"/>
      <x:c r="X33" s="114"/>
      <x:c r="Y33" s="114"/>
      <x:c r="Z33" s="119"/>
    </x:row>
    <x:row r="34" ht="22" customHeight="1">
      <x:c r="A34" s="102" t="str">
        <x:v>-折旧-模具</x:v>
      </x:c>
      <x:c r="B34" s="109"/>
      <x:c r="C34" s="114"/>
      <x:c r="D34" s="114"/>
      <x:c r="E34" s="114"/>
      <x:c r="F34" s="119"/>
      <x:c r="G34" s="109"/>
      <x:c r="H34" s="114"/>
      <x:c r="I34" s="114"/>
      <x:c r="J34" s="114"/>
      <x:c r="K34" s="119"/>
      <x:c r="L34" s="109"/>
      <x:c r="M34" s="114"/>
      <x:c r="N34" s="114"/>
      <x:c r="O34" s="114"/>
      <x:c r="P34" s="119"/>
      <x:c r="Q34" s="109"/>
      <x:c r="R34" s="114"/>
      <x:c r="S34" s="114"/>
      <x:c r="T34" s="114"/>
      <x:c r="U34" s="119"/>
      <x:c r="V34" s="109"/>
      <x:c r="W34" s="114"/>
      <x:c r="X34" s="114"/>
      <x:c r="Y34" s="114"/>
      <x:c r="Z34" s="119"/>
    </x:row>
    <x:row r="35" ht="22" customHeight="1">
      <x:c r="A35" s="102" t="str">
        <x:v>-物流inhouse</x:v>
      </x:c>
      <x:c r="B35" s="109"/>
      <x:c r="C35" s="114"/>
      <x:c r="D35" s="114"/>
      <x:c r="E35" s="114"/>
      <x:c r="F35" s="119"/>
      <x:c r="G35" s="109"/>
      <x:c r="H35" s="114"/>
      <x:c r="I35" s="114"/>
      <x:c r="J35" s="114"/>
      <x:c r="K35" s="119"/>
      <x:c r="L35" s="109"/>
      <x:c r="M35" s="114"/>
      <x:c r="N35" s="114"/>
      <x:c r="O35" s="114"/>
      <x:c r="P35" s="119"/>
      <x:c r="Q35" s="109"/>
      <x:c r="R35" s="114"/>
      <x:c r="S35" s="114"/>
      <x:c r="T35" s="114"/>
      <x:c r="U35" s="119"/>
      <x:c r="V35" s="109"/>
      <x:c r="W35" s="114"/>
      <x:c r="X35" s="114"/>
      <x:c r="Y35" s="114"/>
      <x:c r="Z35" s="119"/>
    </x:row>
    <x:row r="36" ht="22" customHeight="1">
      <x:c r="A36" s="102" t="str">
        <x:v>-其它</x:v>
      </x:c>
      <x:c r="B36" s="109"/>
      <x:c r="C36" s="114"/>
      <x:c r="D36" s="114"/>
      <x:c r="E36" s="114"/>
      <x:c r="F36" s="119"/>
      <x:c r="G36" s="109"/>
      <x:c r="H36" s="114"/>
      <x:c r="I36" s="114"/>
      <x:c r="J36" s="114"/>
      <x:c r="K36" s="119"/>
      <x:c r="L36" s="109"/>
      <x:c r="M36" s="114"/>
      <x:c r="N36" s="114"/>
      <x:c r="O36" s="114"/>
      <x:c r="P36" s="119"/>
      <x:c r="Q36" s="109"/>
      <x:c r="R36" s="114"/>
      <x:c r="S36" s="114"/>
      <x:c r="T36" s="114"/>
      <x:c r="U36" s="119"/>
      <x:c r="V36" s="109"/>
      <x:c r="W36" s="114"/>
      <x:c r="X36" s="114"/>
      <x:c r="Y36" s="114"/>
      <x:c r="Z36" s="119"/>
    </x:row>
    <x:row r="37" ht="22" customHeight="1">
      <x:c r="A37" s="81" t="str">
        <x:v>运费保险&amp;清关费</x:v>
      </x:c>
      <x:c r="B37" s="86" t="n">
        <x:f>SUM(B38:B41)</x:f>
        <x:v>0</x:v>
      </x:c>
      <x:c r="C37" s="91" t="n">
        <x:f>SUM(C38:C41)</x:f>
        <x:v>0</x:v>
      </x:c>
      <x:c r="D37" s="91" t="n">
        <x:f>SUM(D38:D41)</x:f>
        <x:v>0</x:v>
      </x:c>
      <x:c r="E37" s="91" t="n">
        <x:f>SUM(E38:E41)</x:f>
        <x:v>0</x:v>
      </x:c>
      <x:c r="F37" s="96" t="n">
        <x:f>SUM(F38:F41)</x:f>
        <x:v>0</x:v>
      </x:c>
      <x:c r="G37" s="86" t="n">
        <x:f>SUM(G38:G41)</x:f>
        <x:v>0</x:v>
      </x:c>
      <x:c r="H37" s="91" t="n">
        <x:f>SUM(H38:H41)</x:f>
        <x:v>0</x:v>
      </x:c>
      <x:c r="I37" s="91" t="n">
        <x:f>SUM(I38:I41)</x:f>
        <x:v>0</x:v>
      </x:c>
      <x:c r="J37" s="91" t="n">
        <x:f>SUM(J38:J41)</x:f>
        <x:v>0</x:v>
      </x:c>
      <x:c r="K37" s="96" t="n">
        <x:f>SUM(K38:K41)</x:f>
        <x:v>0</x:v>
      </x:c>
      <x:c r="L37" s="86" t="n">
        <x:f>SUM(L38:L41)</x:f>
        <x:v>0</x:v>
      </x:c>
      <x:c r="M37" s="91" t="n">
        <x:f>SUM(M38:M41)</x:f>
        <x:v>0</x:v>
      </x:c>
      <x:c r="N37" s="91" t="n">
        <x:f>SUM(N38:N41)</x:f>
        <x:v>0</x:v>
      </x:c>
      <x:c r="O37" s="91" t="n">
        <x:f>SUM(O38:O41)</x:f>
        <x:v>0</x:v>
      </x:c>
      <x:c r="P37" s="96" t="n">
        <x:f>SUM(P38:P41)</x:f>
        <x:v>0</x:v>
      </x:c>
      <x:c r="Q37" s="86" t="n">
        <x:f>SUM(Q38:Q41)</x:f>
        <x:v>0</x:v>
      </x:c>
      <x:c r="R37" s="91" t="n">
        <x:f>SUM(R38:R41)</x:f>
        <x:v>0</x:v>
      </x:c>
      <x:c r="S37" s="91" t="n">
        <x:f>SUM(S38:S41)</x:f>
        <x:v>0</x:v>
      </x:c>
      <x:c r="T37" s="91" t="n">
        <x:f>SUM(T38:T41)</x:f>
        <x:v>0</x:v>
      </x:c>
      <x:c r="U37" s="96" t="n">
        <x:f>SUM(U38:U41)</x:f>
        <x:v>0</x:v>
      </x:c>
      <x:c r="V37" s="86" t="n">
        <x:f>SUM(V38:V41)</x:f>
        <x:v>0</x:v>
      </x:c>
      <x:c r="W37" s="91" t="n">
        <x:f>SUM(W38:W41)</x:f>
        <x:v>0</x:v>
      </x:c>
      <x:c r="X37" s="91" t="n">
        <x:f>SUM(X38:X41)</x:f>
        <x:v>0</x:v>
      </x:c>
      <x:c r="Y37" s="91" t="n">
        <x:f>SUM(Y38:Y41)</x:f>
        <x:v>0</x:v>
      </x:c>
      <x:c r="Z37" s="96" t="n">
        <x:f>SUM(Z38:Z41)</x:f>
        <x:v>0</x:v>
      </x:c>
    </x:row>
    <x:row r="38" ht="22" customHeight="1">
      <x:c r="A38" s="102" t="str">
        <x:v>-集港运费+报关</x:v>
      </x:c>
      <x:c r="B38" s="109"/>
      <x:c r="C38" s="114"/>
      <x:c r="D38" s="114"/>
      <x:c r="E38" s="114"/>
      <x:c r="F38" s="119"/>
      <x:c r="G38" s="109"/>
      <x:c r="H38" s="114"/>
      <x:c r="I38" s="114"/>
      <x:c r="J38" s="114"/>
      <x:c r="K38" s="119"/>
      <x:c r="L38" s="109"/>
      <x:c r="M38" s="114"/>
      <x:c r="N38" s="114"/>
      <x:c r="O38" s="114"/>
      <x:c r="P38" s="119"/>
      <x:c r="Q38" s="109"/>
      <x:c r="R38" s="114"/>
      <x:c r="S38" s="114"/>
      <x:c r="T38" s="114"/>
      <x:c r="U38" s="119"/>
      <x:c r="V38" s="109"/>
      <x:c r="W38" s="114"/>
      <x:c r="X38" s="114"/>
      <x:c r="Y38" s="114"/>
      <x:c r="Z38" s="119"/>
    </x:row>
    <x:row r="39" ht="22" customHeight="1">
      <x:c r="A39" s="102" t="str">
        <x:v>-海运</x:v>
      </x:c>
      <x:c r="B39" s="109"/>
      <x:c r="C39" s="114"/>
      <x:c r="D39" s="114"/>
      <x:c r="E39" s="114"/>
      <x:c r="F39" s="119"/>
      <x:c r="G39" s="109"/>
      <x:c r="H39" s="114"/>
      <x:c r="I39" s="114"/>
      <x:c r="J39" s="114"/>
      <x:c r="K39" s="119"/>
      <x:c r="L39" s="109"/>
      <x:c r="M39" s="114"/>
      <x:c r="N39" s="114"/>
      <x:c r="O39" s="114"/>
      <x:c r="P39" s="119"/>
      <x:c r="Q39" s="109"/>
      <x:c r="R39" s="114"/>
      <x:c r="S39" s="114"/>
      <x:c r="T39" s="114"/>
      <x:c r="U39" s="119"/>
      <x:c r="V39" s="109"/>
      <x:c r="W39" s="114"/>
      <x:c r="X39" s="114"/>
      <x:c r="Y39" s="114"/>
      <x:c r="Z39" s="119"/>
    </x:row>
    <x:row r="40" ht="22" customHeight="1">
      <x:c r="A40" s="102" t="str">
        <x:v>-保险</x:v>
      </x:c>
      <x:c r="B40" s="109"/>
      <x:c r="C40" s="114"/>
      <x:c r="D40" s="114"/>
      <x:c r="E40" s="114"/>
      <x:c r="F40" s="119"/>
      <x:c r="G40" s="109"/>
      <x:c r="H40" s="114"/>
      <x:c r="I40" s="114"/>
      <x:c r="J40" s="114"/>
      <x:c r="K40" s="119"/>
      <x:c r="L40" s="109"/>
      <x:c r="M40" s="114"/>
      <x:c r="N40" s="114"/>
      <x:c r="O40" s="114"/>
      <x:c r="P40" s="119"/>
      <x:c r="Q40" s="109"/>
      <x:c r="R40" s="114"/>
      <x:c r="S40" s="114"/>
      <x:c r="T40" s="114"/>
      <x:c r="U40" s="119"/>
      <x:c r="V40" s="109"/>
      <x:c r="W40" s="114"/>
      <x:c r="X40" s="114"/>
      <x:c r="Y40" s="114"/>
      <x:c r="Z40" s="119"/>
    </x:row>
    <x:row r="41" ht="22" customHeight="1">
      <x:c r="A41" s="102" t="str">
        <x:v>-清关</x:v>
      </x:c>
      <x:c r="B41" s="109"/>
      <x:c r="C41" s="114"/>
      <x:c r="D41" s="114"/>
      <x:c r="E41" s="114"/>
      <x:c r="F41" s="119"/>
      <x:c r="G41" s="109"/>
      <x:c r="H41" s="114"/>
      <x:c r="I41" s="114"/>
      <x:c r="J41" s="114"/>
      <x:c r="K41" s="119"/>
      <x:c r="L41" s="109"/>
      <x:c r="M41" s="114"/>
      <x:c r="N41" s="114"/>
      <x:c r="O41" s="114"/>
      <x:c r="P41" s="119"/>
      <x:c r="Q41" s="109"/>
      <x:c r="R41" s="114"/>
      <x:c r="S41" s="114"/>
      <x:c r="T41" s="114"/>
      <x:c r="U41" s="119"/>
      <x:c r="V41" s="109"/>
      <x:c r="W41" s="114"/>
      <x:c r="X41" s="114"/>
      <x:c r="Y41" s="114"/>
      <x:c r="Z41" s="119"/>
    </x:row>
    <x:row r="42" ht="22" customHeight="1">
      <x:c r="A42" s="81" t="str">
        <x:v>质保金</x:v>
      </x:c>
      <x:c r="B42" s="86" t="n">
        <x:f>-B7*B$77</x:f>
        <x:v>0</x:v>
      </x:c>
      <x:c r="C42" s="91" t="n">
        <x:f>-C7*C$77</x:f>
        <x:v>0</x:v>
      </x:c>
      <x:c r="D42" s="91" t="n">
        <x:f>-D7*D$77</x:f>
        <x:v>0</x:v>
      </x:c>
      <x:c r="E42" s="91" t="n">
        <x:f>-E7*E$77</x:f>
        <x:v>0</x:v>
      </x:c>
      <x:c r="F42" s="96" t="n">
        <x:f>-F7*F$77</x:f>
        <x:v>0</x:v>
      </x:c>
      <x:c r="G42" s="86" t="n">
        <x:f>-G7*G$77</x:f>
        <x:v>0</x:v>
      </x:c>
      <x:c r="H42" s="91" t="n">
        <x:f>-H7*H$77</x:f>
        <x:v>0</x:v>
      </x:c>
      <x:c r="I42" s="91" t="n">
        <x:f>-I7*I$77</x:f>
        <x:v>0</x:v>
      </x:c>
      <x:c r="J42" s="91" t="n">
        <x:f>-J7*J$77</x:f>
        <x:v>0</x:v>
      </x:c>
      <x:c r="K42" s="96" t="n">
        <x:f>-K7*K$77</x:f>
        <x:v>0</x:v>
      </x:c>
      <x:c r="L42" s="86" t="n">
        <x:f>-L7*L$77</x:f>
        <x:v>0</x:v>
      </x:c>
      <x:c r="M42" s="91" t="n">
        <x:f>-M7*M$77</x:f>
        <x:v>0</x:v>
      </x:c>
      <x:c r="N42" s="91" t="n">
        <x:f>-N7*N$77</x:f>
        <x:v>0</x:v>
      </x:c>
      <x:c r="O42" s="91" t="n">
        <x:f>-O7*O$77</x:f>
        <x:v>0</x:v>
      </x:c>
      <x:c r="P42" s="96" t="n">
        <x:f>-P7*P$77</x:f>
        <x:v>0</x:v>
      </x:c>
      <x:c r="Q42" s="86" t="n">
        <x:f>-Q7*Q$77</x:f>
        <x:v>0</x:v>
      </x:c>
      <x:c r="R42" s="91" t="n">
        <x:f>-R7*R$77</x:f>
        <x:v>0</x:v>
      </x:c>
      <x:c r="S42" s="91" t="n">
        <x:f>-S7*S$77</x:f>
        <x:v>0</x:v>
      </x:c>
      <x:c r="T42" s="91" t="n">
        <x:f>-T7*T$77</x:f>
        <x:v>0</x:v>
      </x:c>
      <x:c r="U42" s="96" t="n">
        <x:f>-U7*U$77</x:f>
        <x:v>0</x:v>
      </x:c>
      <x:c r="V42" s="86" t="n">
        <x:f>-V7*V$77</x:f>
        <x:v>0</x:v>
      </x:c>
      <x:c r="W42" s="91" t="n">
        <x:f>-W7*W$77</x:f>
        <x:v>0</x:v>
      </x:c>
      <x:c r="X42" s="91" t="n">
        <x:f>-X7*X$77</x:f>
        <x:v>0</x:v>
      </x:c>
      <x:c r="Y42" s="91" t="n">
        <x:f>-Y7*Y$77</x:f>
        <x:v>0</x:v>
      </x:c>
      <x:c r="Z42" s="96" t="n">
        <x:f>-Z7*Z$77</x:f>
        <x:v>0</x:v>
      </x:c>
    </x:row>
    <x:row r="43" ht="22" customHeight="1">
      <x:c r="A43" s="81" t="str">
        <x:v>其他成本（智驾、流量）</x:v>
      </x:c>
      <x:c r="B43" s="86" t="n">
        <x:f>SUM(B44:B47)</x:f>
        <x:v>0</x:v>
      </x:c>
      <x:c r="C43" s="91" t="n">
        <x:f>SUM(C44:C47)</x:f>
        <x:v>0</x:v>
      </x:c>
      <x:c r="D43" s="91" t="n">
        <x:f>SUM(D44:D47)</x:f>
        <x:v>0</x:v>
      </x:c>
      <x:c r="E43" s="91" t="n">
        <x:f>SUM(E44:E47)</x:f>
        <x:v>0</x:v>
      </x:c>
      <x:c r="F43" s="96" t="n">
        <x:f>SUM(F44:F47)</x:f>
        <x:v>0</x:v>
      </x:c>
      <x:c r="G43" s="86" t="n">
        <x:f>SUM(G44:G47)</x:f>
        <x:v>0</x:v>
      </x:c>
      <x:c r="H43" s="91" t="n">
        <x:f>SUM(H44:H47)</x:f>
        <x:v>0</x:v>
      </x:c>
      <x:c r="I43" s="91" t="n">
        <x:f>SUM(I44:I47)</x:f>
        <x:v>0</x:v>
      </x:c>
      <x:c r="J43" s="91" t="n">
        <x:f>SUM(J44:J47)</x:f>
        <x:v>0</x:v>
      </x:c>
      <x:c r="K43" s="96" t="n">
        <x:f>SUM(K44:K47)</x:f>
        <x:v>0</x:v>
      </x:c>
      <x:c r="L43" s="86" t="n">
        <x:f>SUM(L44:L47)</x:f>
        <x:v>0</x:v>
      </x:c>
      <x:c r="M43" s="91" t="n">
        <x:f>SUM(M44:M47)</x:f>
        <x:v>0</x:v>
      </x:c>
      <x:c r="N43" s="91" t="n">
        <x:f>SUM(N44:N47)</x:f>
        <x:v>0</x:v>
      </x:c>
      <x:c r="O43" s="91" t="n">
        <x:f>SUM(O44:O47)</x:f>
        <x:v>0</x:v>
      </x:c>
      <x:c r="P43" s="96" t="n">
        <x:f>SUM(P44:P47)</x:f>
        <x:v>0</x:v>
      </x:c>
      <x:c r="Q43" s="86" t="n">
        <x:f>SUM(Q44:Q47)</x:f>
        <x:v>0</x:v>
      </x:c>
      <x:c r="R43" s="91" t="n">
        <x:f>SUM(R44:R47)</x:f>
        <x:v>0</x:v>
      </x:c>
      <x:c r="S43" s="91" t="n">
        <x:f>SUM(S44:S47)</x:f>
        <x:v>0</x:v>
      </x:c>
      <x:c r="T43" s="91" t="n">
        <x:f>SUM(T44:T47)</x:f>
        <x:v>0</x:v>
      </x:c>
      <x:c r="U43" s="96" t="n">
        <x:f>SUM(U44:U47)</x:f>
        <x:v>0</x:v>
      </x:c>
      <x:c r="V43" s="86" t="n">
        <x:f>SUM(V44:V47)</x:f>
        <x:v>0</x:v>
      </x:c>
      <x:c r="W43" s="91" t="n">
        <x:f>SUM(W44:W47)</x:f>
        <x:v>0</x:v>
      </x:c>
      <x:c r="X43" s="91" t="n">
        <x:f>SUM(X44:X47)</x:f>
        <x:v>0</x:v>
      </x:c>
      <x:c r="Y43" s="91" t="n">
        <x:f>SUM(Y44:Y47)</x:f>
        <x:v>0</x:v>
      </x:c>
      <x:c r="Z43" s="96" t="n">
        <x:f>SUM(Z44:Z47)</x:f>
        <x:v>0</x:v>
      </x:c>
    </x:row>
    <x:row r="44" ht="22" customHeight="1">
      <x:c r="A44" s="102" t="str">
        <x:v>-地图服务</x:v>
      </x:c>
      <x:c r="B44" s="109"/>
      <x:c r="C44" s="114"/>
      <x:c r="D44" s="114"/>
      <x:c r="E44" s="114"/>
      <x:c r="F44" s="119"/>
      <x:c r="G44" s="109"/>
      <x:c r="H44" s="114"/>
      <x:c r="I44" s="114"/>
      <x:c r="J44" s="114"/>
      <x:c r="K44" s="119"/>
      <x:c r="L44" s="109"/>
      <x:c r="M44" s="114"/>
      <x:c r="N44" s="114"/>
      <x:c r="O44" s="114"/>
      <x:c r="P44" s="119"/>
      <x:c r="Q44" s="109"/>
      <x:c r="R44" s="114"/>
      <x:c r="S44" s="114"/>
      <x:c r="T44" s="114"/>
      <x:c r="U44" s="119"/>
      <x:c r="V44" s="109"/>
      <x:c r="W44" s="114"/>
      <x:c r="X44" s="114"/>
      <x:c r="Y44" s="114"/>
      <x:c r="Z44" s="119"/>
    </x:row>
    <x:row r="45" ht="22" customHeight="1">
      <x:c r="A45" s="102" t="str">
        <x:v>-定位服务软件</x:v>
      </x:c>
      <x:c r="B45" s="109"/>
      <x:c r="C45" s="114"/>
      <x:c r="D45" s="114"/>
      <x:c r="E45" s="114"/>
      <x:c r="F45" s="119"/>
      <x:c r="G45" s="109"/>
      <x:c r="H45" s="114"/>
      <x:c r="I45" s="114"/>
      <x:c r="J45" s="114"/>
      <x:c r="K45" s="119"/>
      <x:c r="L45" s="109"/>
      <x:c r="M45" s="114"/>
      <x:c r="N45" s="114"/>
      <x:c r="O45" s="114"/>
      <x:c r="P45" s="119"/>
      <x:c r="Q45" s="109"/>
      <x:c r="R45" s="114"/>
      <x:c r="S45" s="114"/>
      <x:c r="T45" s="114"/>
      <x:c r="U45" s="119"/>
      <x:c r="V45" s="109"/>
      <x:c r="W45" s="114"/>
      <x:c r="X45" s="114"/>
      <x:c r="Y45" s="114"/>
      <x:c r="Z45" s="119"/>
    </x:row>
    <x:row r="46" ht="22" customHeight="1">
      <x:c r="A46" s="102" t="str">
        <x:v>-E-call</x:v>
      </x:c>
      <x:c r="B46" s="109"/>
      <x:c r="C46" s="114"/>
      <x:c r="D46" s="114"/>
      <x:c r="E46" s="114"/>
      <x:c r="F46" s="119"/>
      <x:c r="G46" s="109"/>
      <x:c r="H46" s="114"/>
      <x:c r="I46" s="114"/>
      <x:c r="J46" s="114"/>
      <x:c r="K46" s="119"/>
      <x:c r="L46" s="109"/>
      <x:c r="M46" s="114"/>
      <x:c r="N46" s="114"/>
      <x:c r="O46" s="114"/>
      <x:c r="P46" s="119"/>
      <x:c r="Q46" s="109"/>
      <x:c r="R46" s="114"/>
      <x:c r="S46" s="114"/>
      <x:c r="T46" s="114"/>
      <x:c r="U46" s="119"/>
      <x:c r="V46" s="109"/>
      <x:c r="W46" s="114"/>
      <x:c r="X46" s="114"/>
      <x:c r="Y46" s="114"/>
      <x:c r="Z46" s="119"/>
    </x:row>
    <x:row r="47" ht="22" customHeight="1">
      <x:c r="A47" s="102" t="str">
        <x:v>-车流量</x:v>
      </x:c>
      <x:c r="B47" s="109"/>
      <x:c r="C47" s="114"/>
      <x:c r="D47" s="114"/>
      <x:c r="E47" s="114"/>
      <x:c r="F47" s="119"/>
      <x:c r="G47" s="109"/>
      <x:c r="H47" s="114"/>
      <x:c r="I47" s="114"/>
      <x:c r="J47" s="114"/>
      <x:c r="K47" s="119"/>
      <x:c r="L47" s="109"/>
      <x:c r="M47" s="114"/>
      <x:c r="N47" s="114"/>
      <x:c r="O47" s="114"/>
      <x:c r="P47" s="119"/>
      <x:c r="Q47" s="109"/>
      <x:c r="R47" s="114"/>
      <x:c r="S47" s="114"/>
      <x:c r="T47" s="114"/>
      <x:c r="U47" s="119"/>
      <x:c r="V47" s="109"/>
      <x:c r="W47" s="114"/>
      <x:c r="X47" s="114"/>
      <x:c r="Y47" s="114"/>
      <x:c r="Z47" s="119"/>
    </x:row>
    <x:row r="48" ht="22" customHeight="1">
      <x:c r="A48" s="102" t="str">
        <x:v>其他成本调整（原表预留）</x:v>
      </x:c>
      <x:c r="B48" s="109"/>
      <x:c r="C48" s="114"/>
      <x:c r="D48" s="114"/>
      <x:c r="E48" s="114"/>
      <x:c r="F48" s="119"/>
      <x:c r="G48" s="109"/>
      <x:c r="H48" s="114"/>
      <x:c r="I48" s="114"/>
      <x:c r="J48" s="114"/>
      <x:c r="K48" s="119"/>
      <x:c r="L48" s="109"/>
      <x:c r="M48" s="114"/>
      <x:c r="N48" s="114"/>
      <x:c r="O48" s="114"/>
      <x:c r="P48" s="119"/>
      <x:c r="Q48" s="109"/>
      <x:c r="R48" s="114"/>
      <x:c r="S48" s="114"/>
      <x:c r="T48" s="114"/>
      <x:c r="U48" s="119"/>
      <x:c r="V48" s="109"/>
      <x:c r="W48" s="114"/>
      <x:c r="X48" s="114"/>
      <x:c r="Y48" s="114"/>
      <x:c r="Z48" s="119"/>
    </x:row>
    <x:row r="49" ht="24" customHeight="1">
      <x:c r="A49" s="141" t="str">
        <x:v>毛利</x:v>
      </x:c>
      <x:c r="B49" s="146" t="n">
        <x:f>SUM(B15:B16)</x:f>
        <x:v>0</x:v>
      </x:c>
      <x:c r="C49" s="151" t="n">
        <x:f>SUM(C15:C16)</x:f>
        <x:v>0</x:v>
      </x:c>
      <x:c r="D49" s="151" t="n">
        <x:f>SUM(D15:D16)</x:f>
        <x:v>0</x:v>
      </x:c>
      <x:c r="E49" s="151" t="n">
        <x:f>SUM(E15:E16)</x:f>
        <x:v>0</x:v>
      </x:c>
      <x:c r="F49" s="156" t="n">
        <x:f>SUM(F15:F16)</x:f>
        <x:v>0</x:v>
      </x:c>
      <x:c r="G49" s="146" t="n">
        <x:f>SUM(G15:G16)</x:f>
        <x:v>0</x:v>
      </x:c>
      <x:c r="H49" s="151" t="n">
        <x:f>SUM(H15:H16)</x:f>
        <x:v>0</x:v>
      </x:c>
      <x:c r="I49" s="151" t="n">
        <x:f>SUM(I15:I16)</x:f>
        <x:v>0</x:v>
      </x:c>
      <x:c r="J49" s="151" t="n">
        <x:f>SUM(J15:J16)</x:f>
        <x:v>0</x:v>
      </x:c>
      <x:c r="K49" s="156" t="n">
        <x:f>SUM(K15:K16)</x:f>
        <x:v>0</x:v>
      </x:c>
      <x:c r="L49" s="146" t="n">
        <x:f>SUM(L15:L16)</x:f>
        <x:v>0</x:v>
      </x:c>
      <x:c r="M49" s="151" t="n">
        <x:f>SUM(M15:M16)</x:f>
        <x:v>0</x:v>
      </x:c>
      <x:c r="N49" s="151" t="n">
        <x:f>SUM(N15:N16)</x:f>
        <x:v>0</x:v>
      </x:c>
      <x:c r="O49" s="151" t="n">
        <x:f>SUM(O15:O16)</x:f>
        <x:v>0</x:v>
      </x:c>
      <x:c r="P49" s="156" t="n">
        <x:f>SUM(P15:P16)</x:f>
        <x:v>0</x:v>
      </x:c>
      <x:c r="Q49" s="146" t="n">
        <x:f>SUM(Q15:Q16)</x:f>
        <x:v>0</x:v>
      </x:c>
      <x:c r="R49" s="151" t="n">
        <x:f>SUM(R15:R16)</x:f>
        <x:v>0</x:v>
      </x:c>
      <x:c r="S49" s="151" t="n">
        <x:f>SUM(S15:S16)</x:f>
        <x:v>0</x:v>
      </x:c>
      <x:c r="T49" s="151" t="n">
        <x:f>SUM(T15:T16)</x:f>
        <x:v>0</x:v>
      </x:c>
      <x:c r="U49" s="156" t="n">
        <x:f>SUM(U15:U16)</x:f>
        <x:v>0</x:v>
      </x:c>
      <x:c r="V49" s="146" t="n">
        <x:f>SUM(V15:V16)</x:f>
        <x:v>0</x:v>
      </x:c>
      <x:c r="W49" s="151" t="n">
        <x:f>SUM(W15:W16)</x:f>
        <x:v>0</x:v>
      </x:c>
      <x:c r="X49" s="151" t="n">
        <x:f>SUM(X15:X16)</x:f>
        <x:v>0</x:v>
      </x:c>
      <x:c r="Y49" s="151" t="n">
        <x:f>SUM(Y15:Y16)</x:f>
        <x:v>0</x:v>
      </x:c>
      <x:c r="Z49" s="156" t="n">
        <x:f>SUM(Z15:Z16)</x:f>
        <x:v>0</x:v>
      </x:c>
    </x:row>
    <x:row r="50" ht="24" customHeight="1">
      <x:c r="A50" s="141" t="str">
        <x:v>费用总额</x:v>
      </x:c>
      <x:c r="B50" s="146" t="n">
        <x:f>SUM(B51,B55,B66:B67)</x:f>
        <x:v>0</x:v>
      </x:c>
      <x:c r="C50" s="151" t="n">
        <x:f>SUM(C51,C55,C66:C67)</x:f>
        <x:v>0</x:v>
      </x:c>
      <x:c r="D50" s="151" t="n">
        <x:f>SUM(D51,D55,D66:D67)</x:f>
        <x:v>0</x:v>
      </x:c>
      <x:c r="E50" s="151" t="n">
        <x:f>SUM(E51,E55,E66:E67)</x:f>
        <x:v>0</x:v>
      </x:c>
      <x:c r="F50" s="156" t="n">
        <x:f>SUM(F51,F55,F66:F67)</x:f>
        <x:v>0</x:v>
      </x:c>
      <x:c r="G50" s="146" t="n">
        <x:f>SUM(G51,G55,G66:G67)</x:f>
        <x:v>0</x:v>
      </x:c>
      <x:c r="H50" s="151" t="n">
        <x:f>SUM(H51,H55,H66:H67)</x:f>
        <x:v>0</x:v>
      </x:c>
      <x:c r="I50" s="151" t="n">
        <x:f>SUM(I51,I55,I66:I67)</x:f>
        <x:v>0</x:v>
      </x:c>
      <x:c r="J50" s="151" t="n">
        <x:f>SUM(J51,J55,J66:J67)</x:f>
        <x:v>0</x:v>
      </x:c>
      <x:c r="K50" s="156" t="n">
        <x:f>SUM(K51,K55,K66:K67)</x:f>
        <x:v>0</x:v>
      </x:c>
      <x:c r="L50" s="146" t="n">
        <x:f>SUM(L51,L55,L66:L67)</x:f>
        <x:v>0</x:v>
      </x:c>
      <x:c r="M50" s="151" t="n">
        <x:f>SUM(M51,M55,M66:M67)</x:f>
        <x:v>0</x:v>
      </x:c>
      <x:c r="N50" s="151" t="n">
        <x:f>SUM(N51,N55,N66:N67)</x:f>
        <x:v>0</x:v>
      </x:c>
      <x:c r="O50" s="151" t="n">
        <x:f>SUM(O51,O55,O66:O67)</x:f>
        <x:v>0</x:v>
      </x:c>
      <x:c r="P50" s="156" t="n">
        <x:f>SUM(P51,P55,P66:P67)</x:f>
        <x:v>0</x:v>
      </x:c>
      <x:c r="Q50" s="146" t="n">
        <x:f>SUM(Q51,Q55,Q66:Q67)</x:f>
        <x:v>0</x:v>
      </x:c>
      <x:c r="R50" s="151" t="n">
        <x:f>SUM(R51,R55,R66:R67)</x:f>
        <x:v>0</x:v>
      </x:c>
      <x:c r="S50" s="151" t="n">
        <x:f>SUM(S51,S55,S66:S67)</x:f>
        <x:v>0</x:v>
      </x:c>
      <x:c r="T50" s="151" t="n">
        <x:f>SUM(T51,T55,T66:T67)</x:f>
        <x:v>0</x:v>
      </x:c>
      <x:c r="U50" s="156" t="n">
        <x:f>SUM(U51,U55,U66:U67)</x:f>
        <x:v>0</x:v>
      </x:c>
      <x:c r="V50" s="146" t="n">
        <x:f>SUM(V51,V55,V66:V67)</x:f>
        <x:v>0</x:v>
      </x:c>
      <x:c r="W50" s="151" t="n">
        <x:f>SUM(W51,W55,W66:W67)</x:f>
        <x:v>0</x:v>
      </x:c>
      <x:c r="X50" s="151" t="n">
        <x:f>SUM(X51,X55,X66:X67)</x:f>
        <x:v>0</x:v>
      </x:c>
      <x:c r="Y50" s="151" t="n">
        <x:f>SUM(Y51,Y55,Y66:Y67)</x:f>
        <x:v>0</x:v>
      </x:c>
      <x:c r="Z50" s="156" t="n">
        <x:f>SUM(Z51,Z55,Z66:Z67)</x:f>
        <x:v>0</x:v>
      </x:c>
    </x:row>
    <x:row r="51" ht="22" customHeight="1">
      <x:c r="A51" s="81" t="str">
        <x:v>研发费用分摊</x:v>
      </x:c>
      <x:c r="B51" s="86" t="n">
        <x:f>SUM(B52:B54)</x:f>
        <x:v>0</x:v>
      </x:c>
      <x:c r="C51" s="91" t="n">
        <x:f>SUM(C52:C54)</x:f>
        <x:v>0</x:v>
      </x:c>
      <x:c r="D51" s="91" t="n">
        <x:f>SUM(D52:D54)</x:f>
        <x:v>0</x:v>
      </x:c>
      <x:c r="E51" s="91" t="n">
        <x:f>SUM(E52:E54)</x:f>
        <x:v>0</x:v>
      </x:c>
      <x:c r="F51" s="96" t="n">
        <x:f>SUM(F52:F54)</x:f>
        <x:v>0</x:v>
      </x:c>
      <x:c r="G51" s="86" t="n">
        <x:f>SUM(G52:G54)</x:f>
        <x:v>0</x:v>
      </x:c>
      <x:c r="H51" s="91" t="n">
        <x:f>SUM(H52:H54)</x:f>
        <x:v>0</x:v>
      </x:c>
      <x:c r="I51" s="91" t="n">
        <x:f>SUM(I52:I54)</x:f>
        <x:v>0</x:v>
      </x:c>
      <x:c r="J51" s="91" t="n">
        <x:f>SUM(J52:J54)</x:f>
        <x:v>0</x:v>
      </x:c>
      <x:c r="K51" s="96" t="n">
        <x:f>SUM(K52:K54)</x:f>
        <x:v>0</x:v>
      </x:c>
      <x:c r="L51" s="86" t="n">
        <x:f>SUM(L52:L54)</x:f>
        <x:v>0</x:v>
      </x:c>
      <x:c r="M51" s="91" t="n">
        <x:f>SUM(M52:M54)</x:f>
        <x:v>0</x:v>
      </x:c>
      <x:c r="N51" s="91" t="n">
        <x:f>SUM(N52:N54)</x:f>
        <x:v>0</x:v>
      </x:c>
      <x:c r="O51" s="91" t="n">
        <x:f>SUM(O52:O54)</x:f>
        <x:v>0</x:v>
      </x:c>
      <x:c r="P51" s="96" t="n">
        <x:f>SUM(P52:P54)</x:f>
        <x:v>0</x:v>
      </x:c>
      <x:c r="Q51" s="86" t="n">
        <x:f>SUM(Q52:Q54)</x:f>
        <x:v>0</x:v>
      </x:c>
      <x:c r="R51" s="91" t="n">
        <x:f>SUM(R52:R54)</x:f>
        <x:v>0</x:v>
      </x:c>
      <x:c r="S51" s="91" t="n">
        <x:f>SUM(S52:S54)</x:f>
        <x:v>0</x:v>
      </x:c>
      <x:c r="T51" s="91" t="n">
        <x:f>SUM(T52:T54)</x:f>
        <x:v>0</x:v>
      </x:c>
      <x:c r="U51" s="96" t="n">
        <x:f>SUM(U52:U54)</x:f>
        <x:v>0</x:v>
      </x:c>
      <x:c r="V51" s="86" t="n">
        <x:f>SUM(V52:V54)</x:f>
        <x:v>0</x:v>
      </x:c>
      <x:c r="W51" s="91" t="n">
        <x:f>SUM(W52:W54)</x:f>
        <x:v>0</x:v>
      </x:c>
      <x:c r="X51" s="91" t="n">
        <x:f>SUM(X52:X54)</x:f>
        <x:v>0</x:v>
      </x:c>
      <x:c r="Y51" s="91" t="n">
        <x:f>SUM(Y52:Y54)</x:f>
        <x:v>0</x:v>
      </x:c>
      <x:c r="Z51" s="96" t="n">
        <x:f>SUM(Z52:Z54)</x:f>
        <x:v>0</x:v>
      </x:c>
    </x:row>
    <x:row r="52" ht="22" customHeight="1">
      <x:c r="A52" s="102" t="str">
        <x:v>-研发专项投入分摊(R1)</x:v>
      </x:c>
      <x:c r="B52" s="109"/>
      <x:c r="C52" s="114"/>
      <x:c r="D52" s="114"/>
      <x:c r="E52" s="114"/>
      <x:c r="F52" s="119"/>
      <x:c r="G52" s="109"/>
      <x:c r="H52" s="114"/>
      <x:c r="I52" s="114"/>
      <x:c r="J52" s="114"/>
      <x:c r="K52" s="119"/>
      <x:c r="L52" s="109"/>
      <x:c r="M52" s="114"/>
      <x:c r="N52" s="114"/>
      <x:c r="O52" s="114"/>
      <x:c r="P52" s="119"/>
      <x:c r="Q52" s="109"/>
      <x:c r="R52" s="114"/>
      <x:c r="S52" s="114"/>
      <x:c r="T52" s="114"/>
      <x:c r="U52" s="119"/>
      <x:c r="V52" s="109"/>
      <x:c r="W52" s="114"/>
      <x:c r="X52" s="114"/>
      <x:c r="Y52" s="114"/>
      <x:c r="Z52" s="119"/>
    </x:row>
    <x:row r="53" ht="22" customHeight="1">
      <x:c r="A53" s="102" t="str">
        <x:v>-研发人工&amp;部门(R2)</x:v>
      </x:c>
      <x:c r="B53" s="109"/>
      <x:c r="C53" s="114"/>
      <x:c r="D53" s="114"/>
      <x:c r="E53" s="114"/>
      <x:c r="F53" s="119"/>
      <x:c r="G53" s="109"/>
      <x:c r="H53" s="114"/>
      <x:c r="I53" s="114"/>
      <x:c r="J53" s="114"/>
      <x:c r="K53" s="119"/>
      <x:c r="L53" s="109"/>
      <x:c r="M53" s="114"/>
      <x:c r="N53" s="114"/>
      <x:c r="O53" s="114"/>
      <x:c r="P53" s="119"/>
      <x:c r="Q53" s="109"/>
      <x:c r="R53" s="114"/>
      <x:c r="S53" s="114"/>
      <x:c r="T53" s="114"/>
      <x:c r="U53" s="119"/>
      <x:c r="V53" s="109"/>
      <x:c r="W53" s="114"/>
      <x:c r="X53" s="114"/>
      <x:c r="Y53" s="114"/>
      <x:c r="Z53" s="119"/>
    </x:row>
    <x:row r="54" ht="22" customHeight="1">
      <x:c r="A54" s="102" t="str">
        <x:v>-通用&amp;预研分摊(R3)</x:v>
      </x:c>
      <x:c r="B54" s="109"/>
      <x:c r="C54" s="114"/>
      <x:c r="D54" s="114"/>
      <x:c r="E54" s="114"/>
      <x:c r="F54" s="119"/>
      <x:c r="G54" s="109"/>
      <x:c r="H54" s="114"/>
      <x:c r="I54" s="114"/>
      <x:c r="J54" s="114"/>
      <x:c r="K54" s="119"/>
      <x:c r="L54" s="109"/>
      <x:c r="M54" s="114"/>
      <x:c r="N54" s="114"/>
      <x:c r="O54" s="114"/>
      <x:c r="P54" s="119"/>
      <x:c r="Q54" s="109"/>
      <x:c r="R54" s="114"/>
      <x:c r="S54" s="114"/>
      <x:c r="T54" s="114"/>
      <x:c r="U54" s="119"/>
      <x:c r="V54" s="109"/>
      <x:c r="W54" s="114"/>
      <x:c r="X54" s="114"/>
      <x:c r="Y54" s="114"/>
      <x:c r="Z54" s="119"/>
    </x:row>
    <x:row r="55" ht="22" customHeight="1">
      <x:c r="A55" s="81" t="str">
        <x:v>销交服费用</x:v>
      </x:c>
      <x:c r="B55" s="86" t="n">
        <x:f>SUM(B56,B63)</x:f>
        <x:v>0</x:v>
      </x:c>
      <x:c r="C55" s="91" t="n">
        <x:f>SUM(C56,C63)</x:f>
        <x:v>0</x:v>
      </x:c>
      <x:c r="D55" s="91" t="n">
        <x:f>SUM(D56,D63)</x:f>
        <x:v>0</x:v>
      </x:c>
      <x:c r="E55" s="91" t="n">
        <x:f>SUM(E56,E63)</x:f>
        <x:v>0</x:v>
      </x:c>
      <x:c r="F55" s="96" t="n">
        <x:f>SUM(F56,F63)</x:f>
        <x:v>0</x:v>
      </x:c>
      <x:c r="G55" s="86" t="n">
        <x:f>SUM(G56,G63)</x:f>
        <x:v>0</x:v>
      </x:c>
      <x:c r="H55" s="91" t="n">
        <x:f>SUM(H56,H63)</x:f>
        <x:v>0</x:v>
      </x:c>
      <x:c r="I55" s="91" t="n">
        <x:f>SUM(I56,I63)</x:f>
        <x:v>0</x:v>
      </x:c>
      <x:c r="J55" s="91" t="n">
        <x:f>SUM(J56,J63)</x:f>
        <x:v>0</x:v>
      </x:c>
      <x:c r="K55" s="96" t="n">
        <x:f>SUM(K56,K63)</x:f>
        <x:v>0</x:v>
      </x:c>
      <x:c r="L55" s="86" t="n">
        <x:f>SUM(L56,L63)</x:f>
        <x:v>0</x:v>
      </x:c>
      <x:c r="M55" s="91" t="n">
        <x:f>SUM(M56,M63)</x:f>
        <x:v>0</x:v>
      </x:c>
      <x:c r="N55" s="91" t="n">
        <x:f>SUM(N56,N63)</x:f>
        <x:v>0</x:v>
      </x:c>
      <x:c r="O55" s="91" t="n">
        <x:f>SUM(O56,O63)</x:f>
        <x:v>0</x:v>
      </x:c>
      <x:c r="P55" s="96" t="n">
        <x:f>SUM(P56,P63)</x:f>
        <x:v>0</x:v>
      </x:c>
      <x:c r="Q55" s="86" t="n">
        <x:f>SUM(Q56,Q63)</x:f>
        <x:v>0</x:v>
      </x:c>
      <x:c r="R55" s="91" t="n">
        <x:f>SUM(R56,R63)</x:f>
        <x:v>0</x:v>
      </x:c>
      <x:c r="S55" s="91" t="n">
        <x:f>SUM(S56,S63)</x:f>
        <x:v>0</x:v>
      </x:c>
      <x:c r="T55" s="91" t="n">
        <x:f>SUM(T56,T63)</x:f>
        <x:v>0</x:v>
      </x:c>
      <x:c r="U55" s="96" t="n">
        <x:f>SUM(U56,U63)</x:f>
        <x:v>0</x:v>
      </x:c>
      <x:c r="V55" s="86" t="n">
        <x:f>SUM(V56,V63)</x:f>
        <x:v>0</x:v>
      </x:c>
      <x:c r="W55" s="91" t="n">
        <x:f>SUM(W56,W63)</x:f>
        <x:v>0</x:v>
      </x:c>
      <x:c r="X55" s="91" t="n">
        <x:f>SUM(X56,X63)</x:f>
        <x:v>0</x:v>
      </x:c>
      <x:c r="Y55" s="91" t="n">
        <x:f>SUM(Y56,Y63)</x:f>
        <x:v>0</x:v>
      </x:c>
      <x:c r="Z55" s="96" t="n">
        <x:f>SUM(Z56,Z63)</x:f>
        <x:v>0</x:v>
      </x:c>
    </x:row>
    <x:row r="56" ht="22" customHeight="1">
      <x:c r="A56" s="81" t="str">
        <x:v>变动销交服费用</x:v>
      </x:c>
      <x:c r="B56" s="86" t="n">
        <x:f>SUM(B57:B62)</x:f>
        <x:v>0</x:v>
      </x:c>
      <x:c r="C56" s="91" t="n">
        <x:f>SUM(C57:C62)</x:f>
        <x:v>0</x:v>
      </x:c>
      <x:c r="D56" s="91" t="n">
        <x:f>SUM(D57:D62)</x:f>
        <x:v>0</x:v>
      </x:c>
      <x:c r="E56" s="91" t="n">
        <x:f>SUM(E57:E62)</x:f>
        <x:v>0</x:v>
      </x:c>
      <x:c r="F56" s="96" t="n">
        <x:f>SUM(F57:F62)</x:f>
        <x:v>0</x:v>
      </x:c>
      <x:c r="G56" s="86" t="n">
        <x:f>SUM(G57:G62)</x:f>
        <x:v>0</x:v>
      </x:c>
      <x:c r="H56" s="91" t="n">
        <x:f>SUM(H57:H62)</x:f>
        <x:v>0</x:v>
      </x:c>
      <x:c r="I56" s="91" t="n">
        <x:f>SUM(I57:I62)</x:f>
        <x:v>0</x:v>
      </x:c>
      <x:c r="J56" s="91" t="n">
        <x:f>SUM(J57:J62)</x:f>
        <x:v>0</x:v>
      </x:c>
      <x:c r="K56" s="96" t="n">
        <x:f>SUM(K57:K62)</x:f>
        <x:v>0</x:v>
      </x:c>
      <x:c r="L56" s="86" t="n">
        <x:f>SUM(L57:L62)</x:f>
        <x:v>0</x:v>
      </x:c>
      <x:c r="M56" s="91" t="n">
        <x:f>SUM(M57:M62)</x:f>
        <x:v>0</x:v>
      </x:c>
      <x:c r="N56" s="91" t="n">
        <x:f>SUM(N57:N62)</x:f>
        <x:v>0</x:v>
      </x:c>
      <x:c r="O56" s="91" t="n">
        <x:f>SUM(O57:O62)</x:f>
        <x:v>0</x:v>
      </x:c>
      <x:c r="P56" s="96" t="n">
        <x:f>SUM(P57:P62)</x:f>
        <x:v>0</x:v>
      </x:c>
      <x:c r="Q56" s="86" t="n">
        <x:f>SUM(Q57:Q62)</x:f>
        <x:v>0</x:v>
      </x:c>
      <x:c r="R56" s="91" t="n">
        <x:f>SUM(R57:R62)</x:f>
        <x:v>0</x:v>
      </x:c>
      <x:c r="S56" s="91" t="n">
        <x:f>SUM(S57:S62)</x:f>
        <x:v>0</x:v>
      </x:c>
      <x:c r="T56" s="91" t="n">
        <x:f>SUM(T57:T62)</x:f>
        <x:v>0</x:v>
      </x:c>
      <x:c r="U56" s="96" t="n">
        <x:f>SUM(U57:U62)</x:f>
        <x:v>0</x:v>
      </x:c>
      <x:c r="V56" s="86" t="n">
        <x:f>SUM(V57:V62)</x:f>
        <x:v>0</x:v>
      </x:c>
      <x:c r="W56" s="91" t="n">
        <x:f>SUM(W57:W62)</x:f>
        <x:v>0</x:v>
      </x:c>
      <x:c r="X56" s="91" t="n">
        <x:f>SUM(X57:X62)</x:f>
        <x:v>0</x:v>
      </x:c>
      <x:c r="Y56" s="91" t="n">
        <x:f>SUM(Y57:Y62)</x:f>
        <x:v>0</x:v>
      </x:c>
      <x:c r="Z56" s="96" t="n">
        <x:f>SUM(Z57:Z62)</x:f>
        <x:v>0</x:v>
      </x:c>
    </x:row>
    <x:row r="57" ht="22" customHeight="1">
      <x:c r="A57" s="102" t="str">
        <x:v>-商务政策</x:v>
      </x:c>
      <x:c r="B57" s="109"/>
      <x:c r="C57" s="114"/>
      <x:c r="D57" s="114"/>
      <x:c r="E57" s="114"/>
      <x:c r="F57" s="119"/>
      <x:c r="G57" s="109"/>
      <x:c r="H57" s="114"/>
      <x:c r="I57" s="114"/>
      <x:c r="J57" s="114"/>
      <x:c r="K57" s="119"/>
      <x:c r="L57" s="109"/>
      <x:c r="M57" s="114"/>
      <x:c r="N57" s="114"/>
      <x:c r="O57" s="114"/>
      <x:c r="P57" s="119"/>
      <x:c r="Q57" s="109"/>
      <x:c r="R57" s="114"/>
      <x:c r="S57" s="114"/>
      <x:c r="T57" s="114"/>
      <x:c r="U57" s="119"/>
      <x:c r="V57" s="109"/>
      <x:c r="W57" s="114"/>
      <x:c r="X57" s="114"/>
      <x:c r="Y57" s="114"/>
      <x:c r="Z57" s="119"/>
    </x:row>
    <x:row r="58" ht="22" customHeight="1">
      <x:c r="A58" s="102" t="str">
        <x:v>-用户权益（礼盒、胶垫等）</x:v>
      </x:c>
      <x:c r="B58" s="109"/>
      <x:c r="C58" s="114"/>
      <x:c r="D58" s="114"/>
      <x:c r="E58" s="114"/>
      <x:c r="F58" s="119"/>
      <x:c r="G58" s="109"/>
      <x:c r="H58" s="114"/>
      <x:c r="I58" s="114"/>
      <x:c r="J58" s="114"/>
      <x:c r="K58" s="119"/>
      <x:c r="L58" s="109"/>
      <x:c r="M58" s="114"/>
      <x:c r="N58" s="114"/>
      <x:c r="O58" s="114"/>
      <x:c r="P58" s="119"/>
      <x:c r="Q58" s="109"/>
      <x:c r="R58" s="114"/>
      <x:c r="S58" s="114"/>
      <x:c r="T58" s="114"/>
      <x:c r="U58" s="119"/>
      <x:c r="V58" s="109"/>
      <x:c r="W58" s="114"/>
      <x:c r="X58" s="114"/>
      <x:c r="Y58" s="114"/>
      <x:c r="Z58" s="119"/>
    </x:row>
    <x:row r="59" ht="22" customHeight="1">
      <x:c r="A59" s="102" t="str">
        <x:v>-整车物流费用</x:v>
      </x:c>
      <x:c r="B59" s="109"/>
      <x:c r="C59" s="114"/>
      <x:c r="D59" s="114"/>
      <x:c r="E59" s="114"/>
      <x:c r="F59" s="119"/>
      <x:c r="G59" s="109"/>
      <x:c r="H59" s="114"/>
      <x:c r="I59" s="114"/>
      <x:c r="J59" s="114"/>
      <x:c r="K59" s="119"/>
      <x:c r="L59" s="109"/>
      <x:c r="M59" s="114"/>
      <x:c r="N59" s="114"/>
      <x:c r="O59" s="114"/>
      <x:c r="P59" s="119"/>
      <x:c r="Q59" s="109"/>
      <x:c r="R59" s="114"/>
      <x:c r="S59" s="114"/>
      <x:c r="T59" s="114"/>
      <x:c r="U59" s="119"/>
      <x:c r="V59" s="109"/>
      <x:c r="W59" s="114"/>
      <x:c r="X59" s="114"/>
      <x:c r="Y59" s="114"/>
      <x:c r="Z59" s="119"/>
    </x:row>
    <x:row r="60" ht="22" customHeight="1">
      <x:c r="A60" s="102" t="str">
        <x:v>-支付通道手续费</x:v>
      </x:c>
      <x:c r="B60" s="109"/>
      <x:c r="C60" s="114"/>
      <x:c r="D60" s="114"/>
      <x:c r="E60" s="114"/>
      <x:c r="F60" s="119"/>
      <x:c r="G60" s="109"/>
      <x:c r="H60" s="114"/>
      <x:c r="I60" s="114"/>
      <x:c r="J60" s="114"/>
      <x:c r="K60" s="119"/>
      <x:c r="L60" s="109"/>
      <x:c r="M60" s="114"/>
      <x:c r="N60" s="114"/>
      <x:c r="O60" s="114"/>
      <x:c r="P60" s="119"/>
      <x:c r="Q60" s="109"/>
      <x:c r="R60" s="114"/>
      <x:c r="S60" s="114"/>
      <x:c r="T60" s="114"/>
      <x:c r="U60" s="119"/>
      <x:c r="V60" s="109"/>
      <x:c r="W60" s="114"/>
      <x:c r="X60" s="114"/>
      <x:c r="Y60" s="114"/>
      <x:c r="Z60" s="119"/>
    </x:row>
    <x:row r="61" ht="30" customHeight="1">
      <x:c r="A61" s="102" t="str">
        <x:v>-用户权益（如实物等待礼、交付积分、服务积分等(T5)</x:v>
      </x:c>
      <x:c r="B61" s="109"/>
      <x:c r="C61" s="114"/>
      <x:c r="D61" s="114"/>
      <x:c r="E61" s="114"/>
      <x:c r="F61" s="119"/>
      <x:c r="G61" s="109"/>
      <x:c r="H61" s="114"/>
      <x:c r="I61" s="114"/>
      <x:c r="J61" s="114"/>
      <x:c r="K61" s="119"/>
      <x:c r="L61" s="109"/>
      <x:c r="M61" s="114"/>
      <x:c r="N61" s="114"/>
      <x:c r="O61" s="114"/>
      <x:c r="P61" s="119"/>
      <x:c r="Q61" s="109"/>
      <x:c r="R61" s="114"/>
      <x:c r="S61" s="114"/>
      <x:c r="T61" s="114"/>
      <x:c r="U61" s="119"/>
      <x:c r="V61" s="109"/>
      <x:c r="W61" s="114"/>
      <x:c r="X61" s="114"/>
      <x:c r="Y61" s="114"/>
      <x:c r="Z61" s="119"/>
    </x:row>
    <x:row r="62" ht="22" customHeight="1">
      <x:c r="A62" s="102" t="str">
        <x:v>-其他</x:v>
      </x:c>
      <x:c r="B62" s="109"/>
      <x:c r="C62" s="114"/>
      <x:c r="D62" s="114"/>
      <x:c r="E62" s="114"/>
      <x:c r="F62" s="119"/>
      <x:c r="G62" s="109"/>
      <x:c r="H62" s="114"/>
      <x:c r="I62" s="114"/>
      <x:c r="J62" s="114"/>
      <x:c r="K62" s="119"/>
      <x:c r="L62" s="109"/>
      <x:c r="M62" s="114"/>
      <x:c r="N62" s="114"/>
      <x:c r="O62" s="114"/>
      <x:c r="P62" s="119"/>
      <x:c r="Q62" s="109"/>
      <x:c r="R62" s="114"/>
      <x:c r="S62" s="114"/>
      <x:c r="T62" s="114"/>
      <x:c r="U62" s="119"/>
      <x:c r="V62" s="109"/>
      <x:c r="W62" s="114"/>
      <x:c r="X62" s="114"/>
      <x:c r="Y62" s="114"/>
      <x:c r="Z62" s="119"/>
    </x:row>
    <x:row r="63" ht="22" customHeight="1">
      <x:c r="A63" s="81" t="str">
        <x:v>固定销交服费用</x:v>
      </x:c>
      <x:c r="B63" s="86" t="n">
        <x:f>SUM(B64:B65)</x:f>
        <x:v>0</x:v>
      </x:c>
      <x:c r="C63" s="91" t="n">
        <x:f>SUM(C64:C65)</x:f>
        <x:v>0</x:v>
      </x:c>
      <x:c r="D63" s="91" t="n">
        <x:f>SUM(D64:D65)</x:f>
        <x:v>0</x:v>
      </x:c>
      <x:c r="E63" s="91" t="n">
        <x:f>SUM(E64:E65)</x:f>
        <x:v>0</x:v>
      </x:c>
      <x:c r="F63" s="96" t="n">
        <x:f>SUM(F64:F65)</x:f>
        <x:v>0</x:v>
      </x:c>
      <x:c r="G63" s="86" t="n">
        <x:f>SUM(G64:G65)</x:f>
        <x:v>0</x:v>
      </x:c>
      <x:c r="H63" s="91" t="n">
        <x:f>SUM(H64:H65)</x:f>
        <x:v>0</x:v>
      </x:c>
      <x:c r="I63" s="91" t="n">
        <x:f>SUM(I64:I65)</x:f>
        <x:v>0</x:v>
      </x:c>
      <x:c r="J63" s="91" t="n">
        <x:f>SUM(J64:J65)</x:f>
        <x:v>0</x:v>
      </x:c>
      <x:c r="K63" s="96" t="n">
        <x:f>SUM(K64:K65)</x:f>
        <x:v>0</x:v>
      </x:c>
      <x:c r="L63" s="86" t="n">
        <x:f>SUM(L64:L65)</x:f>
        <x:v>0</x:v>
      </x:c>
      <x:c r="M63" s="91" t="n">
        <x:f>SUM(M64:M65)</x:f>
        <x:v>0</x:v>
      </x:c>
      <x:c r="N63" s="91" t="n">
        <x:f>SUM(N64:N65)</x:f>
        <x:v>0</x:v>
      </x:c>
      <x:c r="O63" s="91" t="n">
        <x:f>SUM(O64:O65)</x:f>
        <x:v>0</x:v>
      </x:c>
      <x:c r="P63" s="96" t="n">
        <x:f>SUM(P64:P65)</x:f>
        <x:v>0</x:v>
      </x:c>
      <x:c r="Q63" s="86" t="n">
        <x:f>SUM(Q64:Q65)</x:f>
        <x:v>0</x:v>
      </x:c>
      <x:c r="R63" s="91" t="n">
        <x:f>SUM(R64:R65)</x:f>
        <x:v>0</x:v>
      </x:c>
      <x:c r="S63" s="91" t="n">
        <x:f>SUM(S64:S65)</x:f>
        <x:v>0</x:v>
      </x:c>
      <x:c r="T63" s="91" t="n">
        <x:f>SUM(T64:T65)</x:f>
        <x:v>0</x:v>
      </x:c>
      <x:c r="U63" s="96" t="n">
        <x:f>SUM(U64:U65)</x:f>
        <x:v>0</x:v>
      </x:c>
      <x:c r="V63" s="86" t="n">
        <x:f>SUM(V64:V65)</x:f>
        <x:v>0</x:v>
      </x:c>
      <x:c r="W63" s="91" t="n">
        <x:f>SUM(W64:W65)</x:f>
        <x:v>0</x:v>
      </x:c>
      <x:c r="X63" s="91" t="n">
        <x:f>SUM(X64:X65)</x:f>
        <x:v>0</x:v>
      </x:c>
      <x:c r="Y63" s="91" t="n">
        <x:f>SUM(Y64:Y65)</x:f>
        <x:v>0</x:v>
      </x:c>
      <x:c r="Z63" s="96" t="n">
        <x:f>SUM(Z64:Z65)</x:f>
        <x:v>0</x:v>
      </x:c>
    </x:row>
    <x:row r="64" ht="22" customHeight="1">
      <x:c r="A64" s="102" t="str">
        <x:v>-折旧摊销</x:v>
      </x:c>
      <x:c r="B64" s="109"/>
      <x:c r="C64" s="114"/>
      <x:c r="D64" s="114"/>
      <x:c r="E64" s="114"/>
      <x:c r="F64" s="119"/>
      <x:c r="G64" s="109"/>
      <x:c r="H64" s="114"/>
      <x:c r="I64" s="114"/>
      <x:c r="J64" s="114"/>
      <x:c r="K64" s="119"/>
      <x:c r="L64" s="109"/>
      <x:c r="M64" s="114"/>
      <x:c r="N64" s="114"/>
      <x:c r="O64" s="114"/>
      <x:c r="P64" s="119"/>
      <x:c r="Q64" s="109"/>
      <x:c r="R64" s="114"/>
      <x:c r="S64" s="114"/>
      <x:c r="T64" s="114"/>
      <x:c r="U64" s="119"/>
      <x:c r="V64" s="109"/>
      <x:c r="W64" s="114"/>
      <x:c r="X64" s="114"/>
      <x:c r="Y64" s="114"/>
      <x:c r="Z64" s="119"/>
    </x:row>
    <x:row r="65" ht="22" customHeight="1">
      <x:c r="A65" s="102" t="str">
        <x:v>-其他</x:v>
      </x:c>
      <x:c r="B65" s="109"/>
      <x:c r="C65" s="114"/>
      <x:c r="D65" s="114"/>
      <x:c r="E65" s="114"/>
      <x:c r="F65" s="119"/>
      <x:c r="G65" s="109"/>
      <x:c r="H65" s="114"/>
      <x:c r="I65" s="114"/>
      <x:c r="J65" s="114"/>
      <x:c r="K65" s="119"/>
      <x:c r="L65" s="109"/>
      <x:c r="M65" s="114"/>
      <x:c r="N65" s="114"/>
      <x:c r="O65" s="114"/>
      <x:c r="P65" s="119"/>
      <x:c r="Q65" s="109"/>
      <x:c r="R65" s="114"/>
      <x:c r="S65" s="114"/>
      <x:c r="T65" s="114"/>
      <x:c r="U65" s="119"/>
      <x:c r="V65" s="109"/>
      <x:c r="W65" s="114"/>
      <x:c r="X65" s="114"/>
      <x:c r="Y65" s="114"/>
      <x:c r="Z65" s="119"/>
    </x:row>
    <x:row r="66" ht="22" customHeight="1">
      <x:c r="A66" s="81" t="str">
        <x:v>市场费用</x:v>
      </x:c>
      <x:c r="B66" s="162"/>
      <x:c r="C66" s="167"/>
      <x:c r="D66" s="167"/>
      <x:c r="E66" s="167"/>
      <x:c r="F66" s="172"/>
      <x:c r="G66" s="162"/>
      <x:c r="H66" s="167"/>
      <x:c r="I66" s="167"/>
      <x:c r="J66" s="167"/>
      <x:c r="K66" s="172"/>
      <x:c r="L66" s="162"/>
      <x:c r="M66" s="167"/>
      <x:c r="N66" s="167"/>
      <x:c r="O66" s="167"/>
      <x:c r="P66" s="172"/>
      <x:c r="Q66" s="162"/>
      <x:c r="R66" s="167"/>
      <x:c r="S66" s="167"/>
      <x:c r="T66" s="167"/>
      <x:c r="U66" s="172"/>
      <x:c r="V66" s="162"/>
      <x:c r="W66" s="167"/>
      <x:c r="X66" s="167"/>
      <x:c r="Y66" s="167"/>
      <x:c r="Z66" s="172"/>
    </x:row>
    <x:row r="67" ht="22" customHeight="1">
      <x:c r="A67" s="81" t="str">
        <x:v>集团分摊（国税）</x:v>
      </x:c>
      <x:c r="B67" s="162"/>
      <x:c r="C67" s="167"/>
      <x:c r="D67" s="167"/>
      <x:c r="E67" s="167"/>
      <x:c r="F67" s="172"/>
      <x:c r="G67" s="162"/>
      <x:c r="H67" s="167"/>
      <x:c r="I67" s="167"/>
      <x:c r="J67" s="167"/>
      <x:c r="K67" s="172"/>
      <x:c r="L67" s="162"/>
      <x:c r="M67" s="167"/>
      <x:c r="N67" s="167"/>
      <x:c r="O67" s="167"/>
      <x:c r="P67" s="172"/>
      <x:c r="Q67" s="162"/>
      <x:c r="R67" s="167"/>
      <x:c r="S67" s="167"/>
      <x:c r="T67" s="167"/>
      <x:c r="U67" s="172"/>
      <x:c r="V67" s="162"/>
      <x:c r="W67" s="167"/>
      <x:c r="X67" s="167"/>
      <x:c r="Y67" s="167"/>
      <x:c r="Z67" s="172"/>
    </x:row>
    <x:row r="68" ht="24" customHeight="1">
      <x:c r="A68" s="179" t="str">
        <x:v>EBIT</x:v>
      </x:c>
      <x:c r="B68" s="185" t="n">
        <x:f>SUM(B49:B50)</x:f>
        <x:v>0</x:v>
      </x:c>
      <x:c r="C68" s="190" t="n">
        <x:f>SUM(C49:C50)</x:f>
        <x:v>0</x:v>
      </x:c>
      <x:c r="D68" s="190" t="n">
        <x:f>SUM(D49:D50)</x:f>
        <x:v>0</x:v>
      </x:c>
      <x:c r="E68" s="190" t="n">
        <x:f>SUM(E49:E50)</x:f>
        <x:v>0</x:v>
      </x:c>
      <x:c r="F68" s="195" t="n">
        <x:f>SUM(F49:F50)</x:f>
        <x:v>0</x:v>
      </x:c>
      <x:c r="G68" s="185" t="n">
        <x:f>SUM(G49:G50)</x:f>
        <x:v>0</x:v>
      </x:c>
      <x:c r="H68" s="190" t="n">
        <x:f>SUM(H49:H50)</x:f>
        <x:v>0</x:v>
      </x:c>
      <x:c r="I68" s="190" t="n">
        <x:f>SUM(I49:I50)</x:f>
        <x:v>0</x:v>
      </x:c>
      <x:c r="J68" s="190" t="n">
        <x:f>SUM(J49:J50)</x:f>
        <x:v>0</x:v>
      </x:c>
      <x:c r="K68" s="195" t="n">
        <x:f>SUM(K49:K50)</x:f>
        <x:v>0</x:v>
      </x:c>
      <x:c r="L68" s="185" t="n">
        <x:f>SUM(L49:L50)</x:f>
        <x:v>0</x:v>
      </x:c>
      <x:c r="M68" s="190" t="n">
        <x:f>SUM(M49:M50)</x:f>
        <x:v>0</x:v>
      </x:c>
      <x:c r="N68" s="190" t="n">
        <x:f>SUM(N49:N50)</x:f>
        <x:v>0</x:v>
      </x:c>
      <x:c r="O68" s="190" t="n">
        <x:f>SUM(O49:O50)</x:f>
        <x:v>0</x:v>
      </x:c>
      <x:c r="P68" s="195" t="n">
        <x:f>SUM(P49:P50)</x:f>
        <x:v>0</x:v>
      </x:c>
      <x:c r="Q68" s="185" t="n">
        <x:f>SUM(Q49:Q50)</x:f>
        <x:v>0</x:v>
      </x:c>
      <x:c r="R68" s="190" t="n">
        <x:f>SUM(R49:R50)</x:f>
        <x:v>0</x:v>
      </x:c>
      <x:c r="S68" s="190" t="n">
        <x:f>SUM(S49:S50)</x:f>
        <x:v>0</x:v>
      </x:c>
      <x:c r="T68" s="190" t="n">
        <x:f>SUM(T49:T50)</x:f>
        <x:v>0</x:v>
      </x:c>
      <x:c r="U68" s="195" t="n">
        <x:f>SUM(U49:U50)</x:f>
        <x:v>0</x:v>
      </x:c>
      <x:c r="V68" s="185" t="n">
        <x:f>SUM(V49:V50)</x:f>
        <x:v>0</x:v>
      </x:c>
      <x:c r="W68" s="190" t="n">
        <x:f>SUM(W49:W50)</x:f>
        <x:v>0</x:v>
      </x:c>
      <x:c r="X68" s="190" t="n">
        <x:f>SUM(X49:X50)</x:f>
        <x:v>0</x:v>
      </x:c>
      <x:c r="Y68" s="190" t="n">
        <x:f>SUM(Y49:Y50)</x:f>
        <x:v>0</x:v>
      </x:c>
      <x:c r="Z68" s="195" t="n">
        <x:f>SUM(Z49:Z50)</x:f>
        <x:v>0</x:v>
      </x:c>
    </x:row>
    <x:row r="69" ht="22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 ht="22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 ht="23" customHeight="1">
      <x:c r="A71" s="200" t="str">
        <x:v>计算参数</x:v>
      </x:c>
      <x:c r="B71" s="200" t="str">
        <x:v>按上方同列的年度、车型填写</x:v>
      </x:c>
      <x:c r="C71"/>
      <x:c r="D71"/>
      <x:c r="E71"/>
      <x:c r="F71"/>
      <x:c r="G71" s="200"/>
      <x:c r="H71" s="200"/>
      <x:c r="I71" s="200"/>
      <x:c r="J71" s="200"/>
      <x:c r="K71" s="200"/>
      <x:c r="L71" s="200"/>
      <x:c r="M71" s="200"/>
      <x:c r="N71" s="200"/>
      <x:c r="O71" s="200"/>
      <x:c r="P71" s="200"/>
      <x:c r="Q71" s="200"/>
      <x:c r="R71" s="200"/>
      <x:c r="S71" s="200"/>
      <x:c r="T71" s="200"/>
      <x:c r="U71" s="200"/>
      <x:c r="V71" s="200"/>
      <x:c r="W71" s="200"/>
      <x:c r="X71" s="200"/>
      <x:c r="Y71" s="200"/>
      <x:c r="Z71" s="200"/>
    </x:row>
    <x:row r="72" ht="23" customHeight="1">
      <x:c r="A72" s="204" t="str">
        <x:v>增值税率</x:v>
      </x:c>
      <x:c r="B72" s="208"/>
      <x:c r="C72" s="208"/>
      <x:c r="D72" s="208"/>
      <x:c r="E72" s="208"/>
      <x:c r="F72" s="208"/>
      <x:c r="G72" s="208"/>
      <x:c r="H72" s="208"/>
      <x:c r="I72" s="208"/>
      <x:c r="J72" s="208"/>
      <x:c r="K72" s="208"/>
      <x:c r="L72" s="208"/>
      <x:c r="M72" s="208"/>
      <x:c r="N72" s="208"/>
      <x:c r="O72" s="208"/>
      <x:c r="P72" s="208"/>
      <x:c r="Q72" s="208"/>
      <x:c r="R72" s="208"/>
      <x:c r="S72" s="208"/>
      <x:c r="T72" s="208"/>
      <x:c r="U72" s="208"/>
      <x:c r="V72" s="208"/>
      <x:c r="W72" s="208"/>
      <x:c r="X72" s="208"/>
      <x:c r="Y72" s="208"/>
      <x:c r="Z72" s="208"/>
    </x:row>
    <x:row r="73" ht="23" customHeight="1">
      <x:c r="A73" s="204" t="str">
        <x:v>消费税率</x:v>
      </x:c>
      <x:c r="B73" s="208"/>
      <x:c r="C73" s="208"/>
      <x:c r="D73" s="208"/>
      <x:c r="E73" s="208"/>
      <x:c r="F73" s="208"/>
      <x:c r="G73" s="208"/>
      <x:c r="H73" s="208"/>
      <x:c r="I73" s="208"/>
      <x:c r="J73" s="208"/>
      <x:c r="K73" s="208"/>
      <x:c r="L73" s="208"/>
      <x:c r="M73" s="208"/>
      <x:c r="N73" s="208"/>
      <x:c r="O73" s="208"/>
      <x:c r="P73" s="208"/>
      <x:c r="Q73" s="208"/>
      <x:c r="R73" s="208"/>
      <x:c r="S73" s="208"/>
      <x:c r="T73" s="208"/>
      <x:c r="U73" s="208"/>
      <x:c r="V73" s="208"/>
      <x:c r="W73" s="208"/>
      <x:c r="X73" s="208"/>
      <x:c r="Y73" s="208"/>
      <x:c r="Z73" s="208"/>
    </x:row>
    <x:row r="74" ht="23" customHeight="1">
      <x:c r="A74" s="204" t="str">
        <x:v>城建税及教育附加综合税率</x:v>
      </x:c>
      <x:c r="B74" s="208"/>
      <x:c r="C74" s="208"/>
      <x:c r="D74" s="208"/>
      <x:c r="E74" s="208"/>
      <x:c r="F74" s="208"/>
      <x:c r="G74" s="208"/>
      <x:c r="H74" s="208"/>
      <x:c r="I74" s="208"/>
      <x:c r="J74" s="208"/>
      <x:c r="K74" s="208"/>
      <x:c r="L74" s="208"/>
      <x:c r="M74" s="208"/>
      <x:c r="N74" s="208"/>
      <x:c r="O74" s="208"/>
      <x:c r="P74" s="208"/>
      <x:c r="Q74" s="208"/>
      <x:c r="R74" s="208"/>
      <x:c r="S74" s="208"/>
      <x:c r="T74" s="208"/>
      <x:c r="U74" s="208"/>
      <x:c r="V74" s="208"/>
      <x:c r="W74" s="208"/>
      <x:c r="X74" s="208"/>
      <x:c r="Y74" s="208"/>
      <x:c r="Z74" s="208"/>
    </x:row>
    <x:row r="75" ht="23" customHeight="1">
      <x:c r="A75" s="204" t="str">
        <x:v>关税计税基数（元/台）</x:v>
      </x:c>
      <x:c r="B75" s="212"/>
      <x:c r="C75" s="212"/>
      <x:c r="D75" s="212"/>
      <x:c r="E75" s="212"/>
      <x:c r="F75" s="212"/>
      <x:c r="G75" s="212"/>
      <x:c r="H75" s="212"/>
      <x:c r="I75" s="212"/>
      <x:c r="J75" s="212"/>
      <x:c r="K75" s="212"/>
      <x:c r="L75" s="212"/>
      <x:c r="M75" s="212"/>
      <x:c r="N75" s="212"/>
      <x:c r="O75" s="212"/>
      <x:c r="P75" s="212"/>
      <x:c r="Q75" s="212"/>
      <x:c r="R75" s="212"/>
      <x:c r="S75" s="212"/>
      <x:c r="T75" s="212"/>
      <x:c r="U75" s="212"/>
      <x:c r="V75" s="212"/>
      <x:c r="W75" s="212"/>
      <x:c r="X75" s="212"/>
      <x:c r="Y75" s="212"/>
      <x:c r="Z75" s="212"/>
    </x:row>
    <x:row r="76" ht="23" customHeight="1">
      <x:c r="A76" s="204" t="str">
        <x:v>关税税率</x:v>
      </x:c>
      <x:c r="B76" s="208"/>
      <x:c r="C76" s="208"/>
      <x:c r="D76" s="208"/>
      <x:c r="E76" s="208"/>
      <x:c r="F76" s="208"/>
      <x:c r="G76" s="208"/>
      <x:c r="H76" s="208"/>
      <x:c r="I76" s="208"/>
      <x:c r="J76" s="208"/>
      <x:c r="K76" s="208"/>
      <x:c r="L76" s="208"/>
      <x:c r="M76" s="208"/>
      <x:c r="N76" s="208"/>
      <x:c r="O76" s="208"/>
      <x:c r="P76" s="208"/>
      <x:c r="Q76" s="208"/>
      <x:c r="R76" s="208"/>
      <x:c r="S76" s="208"/>
      <x:c r="T76" s="208"/>
      <x:c r="U76" s="208"/>
      <x:c r="V76" s="208"/>
      <x:c r="W76" s="208"/>
      <x:c r="X76" s="208"/>
      <x:c r="Y76" s="208"/>
      <x:c r="Z76" s="208"/>
    </x:row>
    <x:row r="77" ht="23" customHeight="1">
      <x:c r="A77" s="204" t="str">
        <x:v>质保计提比例（按 MSRP）</x:v>
      </x:c>
      <x:c r="B77" s="208"/>
      <x:c r="C77" s="208"/>
      <x:c r="D77" s="208"/>
      <x:c r="E77" s="208"/>
      <x:c r="F77" s="208"/>
      <x:c r="G77" s="208"/>
      <x:c r="H77" s="208"/>
      <x:c r="I77" s="208"/>
      <x:c r="J77" s="208"/>
      <x:c r="K77" s="208"/>
      <x:c r="L77" s="208"/>
      <x:c r="M77" s="208"/>
      <x:c r="N77" s="208"/>
      <x:c r="O77" s="208"/>
      <x:c r="P77" s="208"/>
      <x:c r="Q77" s="208"/>
      <x:c r="R77" s="208"/>
      <x:c r="S77" s="208"/>
      <x:c r="T77" s="208"/>
      <x:c r="U77" s="208"/>
      <x:c r="V77" s="208"/>
      <x:c r="W77" s="208"/>
      <x:c r="X77" s="208"/>
      <x:c r="Y77" s="208"/>
      <x:c r="Z77" s="208"/>
    </x:row>
    <x:row r="78" ht="22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 ht="22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 ht="24" customHeight="1">
      <x:c r="A80" s="216" t="str">
        <x:v>填写方式</x:v>
      </x:c>
      <x:c r="B80" s="220" t="str">
        <x:v>黄色区域填数：销量填台，MSRP填正数元/台，抵减、成本及费用填负数；其余空白按0。</x:v>
      </x:c>
      <x:c r="C80"/>
      <x:c r="D80"/>
      <x:c r="E80"/>
      <x:c r="F80"/>
      <x:c r="G80"/>
      <x:c r="H80"/>
      <x:c r="I80"/>
      <x:c r="J80"/>
      <x:c r="K80"/>
      <x:c r="L80"/>
      <x:c r="M80" s="222"/>
      <x:c r="N80" s="222"/>
      <x:c r="O80" s="222"/>
      <x:c r="P80" s="222"/>
      <x:c r="Q80" s="222"/>
      <x:c r="R80" s="222"/>
      <x:c r="S80" s="222"/>
      <x:c r="T80" s="222"/>
      <x:c r="U80" s="222"/>
      <x:c r="V80" s="222"/>
      <x:c r="W80" s="222"/>
      <x:c r="X80" s="222"/>
      <x:c r="Y80" s="222"/>
      <x:c r="Z80" s="222"/>
    </x:row>
    <x:row r="81" ht="24" customHeight="1">
      <x:c r="A81" s="216" t="str">
        <x:v>单位与正负</x:v>
      </x:c>
      <x:c r="B81" s="220" t="str">
        <x:v>年度可增删：复制整组车型列并修改SOP+n。每列保留年度、车型、单车（元），同年车型不可重复。</x:v>
      </x:c>
      <x:c r="C81"/>
      <x:c r="D81"/>
      <x:c r="E81"/>
      <x:c r="F81"/>
      <x:c r="G81"/>
      <x:c r="H81"/>
      <x:c r="I81"/>
      <x:c r="J81"/>
      <x:c r="K81"/>
      <x:c r="L81"/>
      <x:c r="M81" s="222"/>
      <x:c r="N81" s="222"/>
      <x:c r="O81" s="222"/>
      <x:c r="P81" s="222"/>
      <x:c r="Q81" s="222"/>
      <x:c r="R81" s="222"/>
      <x:c r="S81" s="222"/>
      <x:c r="T81" s="222"/>
      <x:c r="U81" s="222"/>
      <x:c r="V81" s="222"/>
      <x:c r="W81" s="222"/>
      <x:c r="X81" s="222"/>
      <x:c r="Y81" s="222"/>
      <x:c r="Z81" s="222"/>
    </x:row>
    <x:row r="82" ht="24" customHeight="1">
      <x:c r="A82" s="216" t="str">
        <x:v>固定费用</x:v>
      </x:c>
      <x:c r="B82" s="220" t="str">
        <x:v>固定制造费用、研发分摊、固定销交服及集团分摊，填已经分摊到单车的金额；本表不随销量自动重新分摊。</x:v>
      </x:c>
      <x:c r="C82"/>
      <x:c r="D82"/>
      <x:c r="E82"/>
      <x:c r="F82"/>
      <x:c r="G82"/>
      <x:c r="H82"/>
      <x:c r="I82"/>
      <x:c r="J82"/>
      <x:c r="K82"/>
      <x:c r="L82"/>
      <x:c r="M82" s="222"/>
      <x:c r="N82" s="222"/>
      <x:c r="O82" s="222"/>
      <x:c r="P82" s="222"/>
      <x:c r="Q82" s="222"/>
      <x:c r="R82" s="222"/>
      <x:c r="S82" s="222"/>
      <x:c r="T82" s="222"/>
      <x:c r="U82" s="222"/>
      <x:c r="V82" s="222"/>
      <x:c r="W82" s="222"/>
      <x:c r="X82" s="222"/>
      <x:c r="Y82" s="222"/>
      <x:c r="Z82" s="222"/>
    </x:row>
    <x:row r="83" ht="24" customHeight="1">
      <x:c r="A83" s="216" t="str">
        <x:v>汇总顺序</x:v>
      </x:c>
      <x:c r="B83" s="220" t="str">
        <x:v>收入抵减逐项相加；MSRP加VAT及抵减得到净收入，净收入加成本得到毛利，毛利加费用得到EBIT。集团分摊计入费用。</x:v>
      </x:c>
      <x:c r="C83"/>
      <x:c r="D83"/>
      <x:c r="E83"/>
      <x:c r="F83"/>
      <x:c r="G83"/>
      <x:c r="H83"/>
      <x:c r="I83"/>
      <x:c r="J83"/>
      <x:c r="K83"/>
      <x:c r="L83"/>
      <x:c r="M83" s="222"/>
      <x:c r="N83" s="222"/>
      <x:c r="O83" s="222"/>
      <x:c r="P83" s="222"/>
      <x:c r="Q83" s="222"/>
      <x:c r="R83" s="222"/>
      <x:c r="S83" s="222"/>
      <x:c r="T83" s="222"/>
      <x:c r="U83" s="222"/>
      <x:c r="V83" s="222"/>
      <x:c r="W83" s="222"/>
      <x:c r="X83" s="222"/>
      <x:c r="Y83" s="222"/>
      <x:c r="Z83" s="222"/>
    </x:row>
    <x:row r="84" ht="24" customHeight="1">
      <x:c r="A84" s="216" t="str">
        <x:v>BOM与调整</x:v>
      </x:c>
      <x:c r="B84" s="220" t="str">
        <x:v>BOM成本总额＝基准BOM成本＋赠送配置＋供应商模具分摊。三个子项分别填负数元/台，由总额计入成本总额。</x:v>
      </x:c>
      <x:c r="C84"/>
      <x:c r="D84"/>
      <x:c r="E84"/>
      <x:c r="F84"/>
      <x:c r="G84"/>
      <x:c r="H84"/>
      <x:c r="I84"/>
      <x:c r="J84"/>
      <x:c r="K84"/>
      <x:c r="L84"/>
      <x:c r="M84" s="222"/>
      <x:c r="N84" s="222"/>
      <x:c r="O84" s="222"/>
      <x:c r="P84" s="222"/>
      <x:c r="Q84" s="222"/>
      <x:c r="R84" s="222"/>
      <x:c r="S84" s="222"/>
      <x:c r="T84" s="222"/>
      <x:c r="U84" s="222"/>
      <x:c r="V84" s="222"/>
      <x:c r="W84" s="222"/>
      <x:c r="X84" s="222"/>
      <x:c r="Y84" s="222"/>
      <x:c r="Z84" s="222"/>
    </x:row>
    <x:row r="85" ht="24" customHeight="1">
      <x:c r="A85" s="216" t="str">
        <x:v>税费口径</x:v>
      </x:c>
      <x:c r="B85" s="220" t="str">
        <x:v>VAT按含税MSRP价内剔除；消费税按净收入计提；关税按所填计税基数乘税率，税率为0时可不填基数。</x:v>
      </x:c>
      <x:c r="C85"/>
      <x:c r="D85"/>
      <x:c r="E85"/>
      <x:c r="F85"/>
      <x:c r="G85"/>
      <x:c r="H85"/>
      <x:c r="I85"/>
      <x:c r="J85"/>
      <x:c r="K85"/>
      <x:c r="L85"/>
      <x:c r="M85" s="222"/>
      <x:c r="N85" s="222"/>
      <x:c r="O85" s="222"/>
      <x:c r="P85" s="222"/>
      <x:c r="Q85" s="222"/>
      <x:c r="R85" s="222"/>
      <x:c r="S85" s="222"/>
      <x:c r="T85" s="222"/>
      <x:c r="U85" s="222"/>
      <x:c r="V85" s="222"/>
      <x:c r="W85" s="222"/>
      <x:c r="X85" s="222"/>
      <x:c r="Y85" s="222"/>
      <x:c r="Z85" s="222"/>
    </x:row>
    <x:row r="86" ht="24" customHeight="1">
      <x:c r="A86" s="216" t="str">
        <x:v>附加与质保</x:v>
      </x:c>
      <x:c r="B86" s="220" t="str">
        <x:v>城建附加沿用原测算模型，以BOM乘增值税率估算进项抵扣，增值税净额不低于0，再加消费税计算附加；质保按MSRP计提。</x:v>
      </x:c>
      <x:c r="C86"/>
      <x:c r="D86"/>
      <x:c r="E86"/>
      <x:c r="F86"/>
      <x:c r="G86"/>
      <x:c r="H86"/>
      <x:c r="I86"/>
      <x:c r="J86"/>
      <x:c r="K86"/>
      <x:c r="L86"/>
      <x:c r="M86" s="222"/>
      <x:c r="N86" s="222"/>
      <x:c r="O86" s="222"/>
      <x:c r="P86" s="222"/>
      <x:c r="Q86" s="222"/>
      <x:c r="R86" s="222"/>
      <x:c r="S86" s="222"/>
      <x:c r="T86" s="222"/>
      <x:c r="U86" s="222"/>
      <x:c r="V86" s="222"/>
      <x:c r="W86" s="222"/>
      <x:c r="X86" s="222"/>
      <x:c r="Y86" s="222"/>
      <x:c r="Z86" s="222"/>
    </x:row>
    <x:row r="87" ht="24" customHeight="1">
      <x:c r="A87" s="216" t="str">
        <x:v>参数与零值</x:v>
      </x:c>
      <x:c r="B87" s="220" t="str">
        <x:v>税率留空按0；保留科目标题与原顺序。新增明细填独立金额，暂不设置公式或自动比例联动。</x:v>
      </x:c>
      <x:c r="C87"/>
      <x:c r="D87"/>
      <x:c r="E87"/>
      <x:c r="F87"/>
      <x:c r="G87"/>
      <x:c r="H87"/>
      <x:c r="I87"/>
      <x:c r="J87"/>
      <x:c r="K87"/>
      <x:c r="L87"/>
      <x:c r="M87" s="222"/>
      <x:c r="N87" s="222"/>
      <x:c r="O87" s="222"/>
      <x:c r="P87" s="222"/>
      <x:c r="Q87" s="222"/>
      <x:c r="R87" s="222"/>
      <x:c r="S87" s="222"/>
      <x:c r="T87" s="222"/>
      <x:c r="U87" s="222"/>
      <x:c r="V87" s="222"/>
      <x:c r="W87" s="222"/>
      <x:c r="X87" s="222"/>
      <x:c r="Y87" s="222"/>
      <x:c r="Z87" s="222"/>
    </x:row>
    <x:row r="88" ht="24" customHeight="1">
      <x:c r="A88" s="216" t="str">
        <x:v>计算依据</x:v>
      </x:c>
      <x:c r="B88" s="220" t="str">
        <x:v>依据本模板的科目层级及《BC测算分析模板-线下.xlsx》已有计算关系；集团分摊沿用已确认的计入EBIT口径。</x:v>
      </x:c>
      <x:c r="C88"/>
      <x:c r="D88"/>
      <x:c r="E88"/>
      <x:c r="F88"/>
      <x:c r="G88"/>
      <x:c r="H88"/>
      <x:c r="I88"/>
      <x:c r="J88"/>
      <x:c r="K88"/>
      <x:c r="L88"/>
      <x:c r="M88" s="222"/>
      <x:c r="N88" s="222"/>
      <x:c r="O88" s="222"/>
      <x:c r="P88" s="222"/>
      <x:c r="Q88" s="222"/>
      <x:c r="R88" s="222"/>
      <x:c r="S88" s="222"/>
      <x:c r="T88" s="222"/>
      <x:c r="U88" s="222"/>
      <x:c r="V88" s="222"/>
      <x:c r="W88" s="222"/>
      <x:c r="X88" s="222"/>
      <x:c r="Y88" s="222"/>
      <x:c r="Z88" s="222"/>
    </x:row>
    <x:row r="89" ht="24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</x:sheetData>
  <x:mergeCells>
    <x:mergeCell ref="B2:F2"/>
    <x:mergeCell ref="G2:K2"/>
    <x:mergeCell ref="L2:P2"/>
    <x:mergeCell ref="Q2:U2"/>
    <x:mergeCell ref="V2:Z2"/>
    <x:mergeCell ref="A2:A4"/>
    <x:mergeCell ref="B82:L82"/>
    <x:mergeCell ref="B87:L87"/>
    <x:mergeCell ref="B71:F71"/>
    <x:mergeCell ref="B81:L81"/>
    <x:mergeCell ref="B85:L85"/>
    <x:mergeCell ref="B86:L86"/>
    <x:mergeCell ref="B80:L80"/>
    <x:mergeCell ref="B88:L88"/>
    <x:mergeCell ref="B84:L84"/>
    <x:mergeCell ref="B83:L83"/>
  </x:mergeCells>
  <x:dataValidations count="8">
    <x:dataValidation type="decimal" operator="between" sqref="B73:Z73">
      <x:formula1>0</x:formula1>
      <x:formula2>1</x:formula2>
    </x:dataValidation>
    <x:dataValidation type="decimal" operator="between" sqref="B74:Z74">
      <x:formula1>0</x:formula1>
      <x:formula2>1</x:formula2>
    </x:dataValidation>
    <x:dataValidation type="decimal" operator="between" sqref="B75:Z75">
      <x:formula1>0</x:formula1>
      <x:formula2>1</x:formula2>
    </x:dataValidation>
    <x:dataValidation type="decimal" operator="between" sqref="B77:Z77">
      <x:formula1>0</x:formula1>
      <x:formula2>1</x:formula2>
    </x:dataValidation>
    <x:dataValidation type="decimal" operator="between" sqref="B78:Z78">
      <x:formula1>0</x:formula1>
      <x:formula2>1</x:formula2>
    </x:dataValidation>
    <x:dataValidation type="whole" operator="greaterThanOrEqual" sqref="B5:Z5">
      <x:formula1>0</x:formula1>
    </x:dataValidation>
    <x:dataValidation type="decimal" operator="greaterThanOrEqual" sqref="B7:Z7">
      <x:formula1>0</x:formula1>
    </x:dataValidation>
    <x:dataValidation type="decimal" operator="greaterThanOrEqual" sqref="B76:Z76">
      <x:formula1>0</x:formula1>
    </x:dataValidation>
  </x:dataValidations>
  <x:pageMargins left="0.7" right="0.7" top="0.75" bottom="0.75" header="0.3" footer="0.3"/>
</x:worksheet>
</file>