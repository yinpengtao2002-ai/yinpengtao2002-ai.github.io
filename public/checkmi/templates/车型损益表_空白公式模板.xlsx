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5fc751db382465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车型损益表" sheetId="1" r:id="Rb2db6aa7fb0c4c25"/>
  </x:sheets>
</x:workbook>
</file>

<file path=xl/sharedStrings.xml><?xml version="1.0" encoding="utf-8"?>
<x:sst xmlns:x="http://schemas.openxmlformats.org/spreadsheetml/2006/main">
  <x:si>
    <x:t xml:space="preserve">损益科目</x:t>
  </x:si>
  <x:si>
    <x:t xml:space="preserve">SOP</x:t>
  </x:si>
  <x:si>
    <x:t xml:space="preserve">SOP+1</x:t>
  </x:si>
  <x:si>
    <x:t xml:space="preserve">SOP+2</x:t>
  </x:si>
  <x:si>
    <x:t xml:space="preserve">SOP+3</x:t>
  </x:si>
  <x:si>
    <x:t xml:space="preserve">SOP+4</x:t>
  </x:si>
  <x:si>
    <x:t xml:space="preserve">车型A</x:t>
  </x:si>
  <x:si>
    <x:t xml:space="preserve">车型B</x:t>
  </x:si>
  <x:si>
    <x:t xml:space="preserve">车型C</x:t>
  </x:si>
  <x:si>
    <x:t xml:space="preserve">车型D</x:t>
  </x:si>
  <x:si>
    <x:t xml:space="preserve">车型E</x:t>
  </x:si>
  <x:si>
    <x:t xml:space="preserve">单车（元）</x:t>
  </x:si>
  <x:si>
    <x:t xml:space="preserve">Sales · 销量</x:t>
  </x:si>
  <x:si>
    <x:t xml:space="preserve">MIX · 销量占比</x:t>
  </x:si>
  <x:si>
    <x:t xml:space="preserve">MSRP</x:t>
  </x:si>
  <x:si>
    <x:t xml:space="preserve">VAT</x:t>
  </x:si>
  <x:si>
    <x:t xml:space="preserve">收入抵减项</x:t>
  </x:si>
  <x:si>
    <x:t xml:space="preserve">-积分权益类</x:t>
  </x:si>
  <x:si>
    <x:t xml:space="preserve">-展车销售折扣</x:t>
  </x:si>
  <x:si>
    <x:t xml:space="preserve">-金融贴息</x:t>
  </x:si>
  <x:si>
    <x:t xml:space="preserve">-购置税补贴</x:t>
  </x:si>
  <x:si>
    <x:t xml:space="preserve">-其他</x:t>
  </x:si>
  <x:si>
    <x:t xml:space="preserve">净收入</x:t>
  </x:si>
  <x:si>
    <x:t xml:space="preserve">成本总额</x:t>
  </x:si>
  <x:si>
    <x:t xml:space="preserve">BOM成本</x:t>
  </x:si>
  <x:si>
    <x:t xml:space="preserve">- BOM成本（赠送配置）</x:t>
  </x:si>
  <x:si>
    <x:t xml:space="preserve">- 供应商模具转固分摊成本</x:t>
  </x:si>
</x:sst>
</file>

<file path=xl/styles.xml><?xml version="1.0" encoding="utf-8"?>
<x:styleSheet xmlns:x="http://schemas.openxmlformats.org/spreadsheetml/2006/main">
  <x:numFmts count="7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  <x:numFmt numFmtId="200" formatCode="0.00%"/>
    <x:numFmt numFmtId="201" formatCode="#,##0.00"/>
    <x:numFmt numFmtId="202" formatCode="General"/>
  </x:numFmts>
  <x:fonts count="36">
    <x:font>
      <x:sz val="11"/>
      <x:color theme="1"/>
      <x:name val="宋体"/>
    </x:font>
    <x:font>
      <x:b/>
      <x:sz val="10"/>
      <x:color rgb="FF383931"/>
      <x:name val="微软雅黑"/>
    </x:font>
    <x:font>
      <x:sz val="10"/>
      <x:color rgb="FF383931"/>
      <x:name val="微软雅黑"/>
    </x:font>
    <x:font>
      <x:sz val="10"/>
      <x:color rgb="FF96643B"/>
      <x:name val="微软雅黑"/>
    </x:font>
    <x:font>
      <x:b/>
      <x:sz val="10"/>
      <x:color rgb="FF9E5036"/>
      <x:name val="微软雅黑"/>
    </x:font>
    <x:font>
      <x:sz val="11"/>
      <x:color theme="1"/>
      <x:name val="宋体"/>
    </x:font>
    <x:font>
      <x:sz val="11"/>
      <x:color rgb="FF0000FF"/>
      <x:name val="宋体"/>
    </x:font>
    <x:font>
      <x:sz val="11"/>
      <x:color rgb="FF800080"/>
      <x:name val="宋体"/>
    </x:font>
    <x:font>
      <x:sz val="11"/>
      <x:color rgb="FFFF0000"/>
      <x:name val="宋体"/>
    </x:font>
    <x:font>
      <x:b/>
      <x:sz val="18"/>
      <x:color theme="3"/>
      <x:name val="宋体"/>
    </x:font>
    <x:font>
      <x:i/>
      <x:sz val="11"/>
      <x:color rgb="FF7F7F7F"/>
      <x:name val="宋体"/>
    </x:font>
    <x:font>
      <x:b/>
      <x:sz val="15"/>
      <x:color theme="3"/>
      <x:name val="宋体"/>
    </x:font>
    <x:font>
      <x:b/>
      <x:sz val="13"/>
      <x:color theme="3"/>
      <x:name val="宋体"/>
    </x:font>
    <x:font>
      <x:b/>
      <x:sz val="11"/>
      <x:color theme="3"/>
      <x:name val="宋体"/>
    </x:font>
    <x:font>
      <x:sz val="11"/>
      <x:color rgb="FF3F3F76"/>
      <x:name val="宋体"/>
    </x:font>
    <x:font>
      <x:b/>
      <x:sz val="11"/>
      <x:color rgb="FF3F3F3F"/>
      <x:name val="宋体"/>
    </x:font>
    <x:font>
      <x:b/>
      <x:sz val="11"/>
      <x:color rgb="FFFA7D00"/>
      <x:name val="宋体"/>
    </x:font>
    <x:font>
      <x:b/>
      <x:sz val="11"/>
      <x:color rgb="FFFFFFFF"/>
      <x:name val="宋体"/>
    </x:font>
    <x:font>
      <x:sz val="11"/>
      <x:color rgb="FFFA7D00"/>
      <x:name val="宋体"/>
    </x:font>
    <x:font>
      <x:b/>
      <x:sz val="11"/>
      <x:color theme="1"/>
      <x:name val="宋体"/>
    </x:font>
    <x:font>
      <x:sz val="11"/>
      <x:color rgb="FF006100"/>
      <x:name val="宋体"/>
    </x:font>
    <x:font>
      <x:sz val="11"/>
      <x:color rgb="FF9C0006"/>
      <x:name val="宋体"/>
    </x:font>
    <x:font>
      <x:sz val="11"/>
      <x:color rgb="FF9C6500"/>
      <x:name val="宋体"/>
    </x:font>
    <x:font>
      <x:sz val="11"/>
      <x:color theme="0"/>
      <x:name val="宋体"/>
    </x:font>
    <x:font>
      <x:sz val="11"/>
      <x:color theme="1"/>
      <x:name val="宋体"/>
    </x:font>
    <x:font>
      <x:sz val="10"/>
      <x:color rgb="FF215EA8"/>
      <x:name val="微软雅黑"/>
    </x:font>
    <x:font>
      <x:b/>
      <x:sz val="10"/>
      <x:color rgb="FF215EA8"/>
      <x:name val="微软雅黑"/>
    </x:font>
    <x:font>
      <x:sz val="10"/>
      <x:color rgb="FF74766B"/>
      <x:name val="微软雅黑"/>
    </x:font>
    <x:font>
      <x:b/>
      <x:sz val="10"/>
      <x:color rgb="FF74766B"/>
      <x:name val="微软雅黑"/>
    </x:font>
    <x:font>
      <x:b/>
      <x:sz val="10"/>
      <x:color rgb="FF383931"/>
      <x:name val="微软雅黑"/>
    </x:font>
    <x:font>
      <x:sz val="10"/>
      <x:color rgb="FF383931"/>
      <x:name val="微软雅黑"/>
    </x:font>
    <x:font>
      <x:sz val="10"/>
      <x:color rgb="FF215EA8"/>
      <x:name val="微软雅黑"/>
    </x:font>
    <x:font>
      <x:b/>
      <x:sz val="10"/>
      <x:color rgb="FF215EA8"/>
      <x:name val="微软雅黑"/>
    </x:font>
    <x:font>
      <x:b/>
      <x:sz val="10"/>
      <x:color rgb="FF9E5036"/>
      <x:name val="微软雅黑"/>
    </x:font>
    <x:font>
      <x:b/>
      <x:sz val="10"/>
      <x:color rgb="FF74766B"/>
      <x:name val="微软雅黑"/>
    </x:font>
    <x:font>
      <x:sz val="10"/>
      <x:color rgb="FF74766B"/>
      <x:name val="微软雅黑"/>
    </x:font>
  </x:fonts>
  <x:fills count="44">
    <x:fill>
      <x:patternFill patternType="none"/>
    </x:fill>
    <x:fill>
      <x:patternFill patternType="gray125"/>
    </x:fill>
    <x:fill>
      <x:patternFill patternType="solid">
        <x:fgColor rgb="FFF0EEE6"/>
      </x:patternFill>
    </x:fill>
    <x:fill>
      <x:patternFill patternType="solid">
        <x:fgColor rgb="FFFAF9F5"/>
      </x:patternFill>
    </x:fill>
    <x:fill>
      <x:patternFill patternType="solid">
        <x:fgColor rgb="FFFDFAF2"/>
      </x:patternFill>
    </x:fill>
    <x:fill>
      <x:patternFill patternType="solid">
        <x:fgColor rgb="FFEEE5D8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  <x:fill>
      <x:patternFill patternType="solid">
        <x:fgColor rgb="FFFFF9E8"/>
      </x:patternFill>
    </x:fill>
    <x:fill>
      <x:patternFill patternType="solid">
        <x:fgColor rgb="FFF1EFE5"/>
      </x:patternFill>
    </x:fill>
    <x:fill>
      <x:patternFill patternType="solid">
        <x:fgColor rgb="FFFAF9F5"/>
      </x:patternFill>
    </x:fill>
    <x:fill>
      <x:patternFill patternType="solid">
        <x:fgColor rgb="FFFFF9E8"/>
      </x:patternFill>
    </x:fill>
    <x:fill>
      <x:patternFill patternType="solid">
        <x:fgColor rgb="FFF0EEE6"/>
      </x:patternFill>
    </x:fill>
    <x:fill>
      <x:patternFill patternType="solid">
        <x:fgColor rgb="FFEEE5D8"/>
      </x:patternFill>
    </x:fill>
    <x:fill>
      <x:patternFill patternType="solid">
        <x:fgColor rgb="FFF1EFE5"/>
      </x:patternFill>
    </x:fill>
  </x:fills>
  <x:borders count="36">
    <x:border/>
    <x:border>
      <x:left style="medium">
        <x:color auto="1"/>
      </x:left>
      <x:right style="medium">
        <x:color auto="1"/>
      </x:right>
      <x:top style="medium">
        <x:color auto="1"/>
      </x:top>
    </x:border>
    <x:border>
      <x:left style="medium">
        <x:color auto="1"/>
      </x:left>
      <x:top style="medium">
        <x:color auto="1"/>
      </x:top>
      <x:bottom style="hair">
        <x:color rgb="FFE3E1D8"/>
      </x:bottom>
    </x:border>
    <x:border>
      <x:top style="medium">
        <x:color auto="1"/>
      </x:top>
      <x:bottom style="hair">
        <x:color rgb="FFE3E1D8"/>
      </x:bottom>
    </x:border>
    <x:border>
      <x:right style="medium">
        <x:color auto="1"/>
      </x:right>
      <x:top style="medium">
        <x:color auto="1"/>
      </x:top>
      <x:bottom style="hair">
        <x:color rgb="FFE3E1D8"/>
      </x:bottom>
    </x:border>
    <x:border>
      <x:left style="medium">
        <x:color auto="1"/>
      </x:left>
      <x:right style="medium">
        <x:color auto="1"/>
      </x:right>
    </x:border>
    <x:border>
      <x:left style="medium">
        <x:color auto="1"/>
      </x:left>
      <x:bottom style="hair">
        <x:color rgb="FFE3E1D8"/>
      </x:bottom>
    </x:border>
    <x:border>
      <x:bottom style="hair">
        <x:color rgb="FFE3E1D8"/>
      </x:bottom>
    </x:border>
    <x:border>
      <x:right style="medium">
        <x:color auto="1"/>
      </x:right>
      <x:bottom style="hair">
        <x:color rgb="FFE3E1D8"/>
      </x:bottom>
    </x:border>
    <x:border>
      <x:left style="medium">
        <x:color auto="1"/>
      </x:left>
      <x:right style="medium">
        <x:color auto="1"/>
      </x:right>
      <x:bottom style="hair">
        <x:color rgb="FFE3E1D8"/>
      </x:bottom>
    </x:border>
    <x:border>
      <x:left style="medium">
        <x:color auto="1"/>
      </x:left>
      <x:right style="medium">
        <x:color auto="1"/>
      </x:right>
      <x:bottom style="thin">
        <x:color rgb="FFE3E1D8"/>
      </x:bottom>
    </x:border>
    <x:border>
      <x:left style="medium">
        <x:color auto="1"/>
      </x:left>
      <x:bottom style="thin">
        <x:color rgb="FFE3E1D8"/>
      </x:bottom>
    </x:border>
    <x:border>
      <x:bottom style="thin">
        <x:color rgb="FFE3E1D8"/>
      </x:bottom>
    </x:border>
    <x:border>
      <x:right style="medium">
        <x:color auto="1"/>
      </x:right>
      <x:bottom style="thin">
        <x:color rgb="FFE3E1D8"/>
      </x:bottom>
    </x:border>
    <x:border>
      <x:left style="medium">
        <x:color auto="1"/>
      </x:left>
      <x:right style="medium">
        <x:color auto="1"/>
      </x:right>
      <x:bottom style="medium">
        <x:color auto="1"/>
      </x:bottom>
    </x:border>
    <x:border>
      <x:left style="medium">
        <x:color auto="1"/>
      </x:left>
      <x:bottom style="medium">
        <x:color auto="1"/>
      </x:bottom>
    </x:border>
    <x:border>
      <x:bottom style="medium">
        <x:color auto="1"/>
      </x:bottom>
    </x:border>
    <x:border>
      <x:right style="medium">
        <x:color auto="1"/>
      </x:right>
      <x:bottom style="medium">
        <x:color auto="1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  <x:border>
      <x:left style="medium">
        <x:color rgb="FF000000"/>
      </x:left>
      <x:right style="medium">
        <x:color rgb="FF000000"/>
      </x:right>
      <x:bottom style="hair">
        <x:color rgb="FFE3E1D8"/>
      </x:bottom>
    </x:border>
    <x:border>
      <x:left style="medium">
        <x:color rgb="FF000000"/>
      </x:left>
      <x:bottom style="hair">
        <x:color rgb="FFE3E1D8"/>
      </x:bottom>
    </x:border>
    <x:border>
      <x:right style="medium">
        <x:color rgb="FF000000"/>
      </x:right>
      <x:bottom style="hair">
        <x:color rgb="FFE3E1D8"/>
      </x:bottom>
    </x:border>
    <x:border>
      <x:left style="medium">
        <x:color rgb="FF000000"/>
      </x:left>
      <x:right style="medium">
        <x:color rgb="FF000000"/>
      </x:right>
      <x:bottom style="thin">
        <x:color rgb="FFE3E1D8"/>
      </x:bottom>
    </x:border>
    <x:border>
      <x:left style="medium">
        <x:color rgb="FF000000"/>
      </x:left>
      <x:bottom style="thin">
        <x:color rgb="FFE3E1D8"/>
      </x:bottom>
    </x:border>
    <x:border>
      <x:right style="medium">
        <x:color rgb="FF000000"/>
      </x:right>
      <x:bottom style="thin">
        <x:color rgb="FFE3E1D8"/>
      </x:bottom>
    </x:border>
    <x:border>
      <x:left style="medium">
        <x:color rgb="FF000000"/>
      </x:left>
      <x:right style="medium">
        <x:color rgb="FF000000"/>
      </x:right>
      <x:bottom style="medium">
        <x:color rgb="FF000000"/>
      </x:bottom>
    </x:border>
    <x:border>
      <x:left style="medium">
        <x:color rgb="FF000000"/>
      </x:left>
      <x:bottom style="medium">
        <x:color rgb="FF000000"/>
      </x:bottom>
    </x:border>
    <x:border>
      <x:bottom style="medium">
        <x:color rgb="FF000000"/>
      </x:bottom>
    </x:border>
    <x:border>
      <x:right style="medium">
        <x:color rgb="FF000000"/>
      </x:right>
      <x:bottom style="medium">
        <x:color rgb="FF000000"/>
      </x:bottom>
    </x:border>
  </x:borders>
  <x:cellStyleXfs count="49">
    <x:xf numFmtId="0" fontId="0" fillId="0" borderId="0"/>
    <x:xf numFmtId="43" fontId="5" fillId="0" borderId="0" applyFont="0" applyFill="0" applyBorder="0" applyAlignment="0" applyProtection="0">
      <x:alignment vertical="center"/>
    </x:xf>
    <x:xf numFmtId="44" fontId="5" fillId="0" borderId="0" applyFont="0" applyFill="0" applyBorder="0" applyAlignment="0" applyProtection="0">
      <x:alignment vertical="center"/>
    </x:xf>
    <x:xf numFmtId="9" fontId="5" fillId="0" borderId="0" applyFont="0" applyFill="0" applyBorder="0" applyAlignment="0" applyProtection="0">
      <x:alignment vertical="center"/>
    </x:xf>
    <x:xf numFmtId="41" fontId="5" fillId="0" borderId="0" applyFont="0" applyFill="0" applyBorder="0" applyAlignment="0" applyProtection="0">
      <x:alignment vertical="center"/>
    </x:xf>
    <x:xf numFmtId="42" fontId="5" fillId="0" borderId="0" applyFont="0" applyFill="0" applyBorder="0" applyAlignment="0" applyProtection="0">
      <x:alignment vertical="center"/>
    </x:xf>
    <x:xf numFmtId="0" fontId="6" fillId="0" borderId="0" applyNumberFormat="0" applyFill="0" applyBorder="0" applyAlignment="0" applyProtection="0">
      <x:alignment vertical="center"/>
    </x:xf>
    <x:xf numFmtId="0" fontId="7" fillId="0" borderId="0" applyNumberFormat="0" applyFill="0" applyBorder="0" applyAlignment="0" applyProtection="0">
      <x:alignment vertical="center"/>
    </x:xf>
    <x:xf numFmtId="0" fontId="5" fillId="6" borderId="18" applyNumberFormat="0" applyFont="0" applyAlignment="0" applyProtection="0">
      <x:alignment vertical="center"/>
    </x:xf>
    <x:xf numFmtId="0" fontId="8" fillId="0" borderId="0" applyNumberFormat="0" applyFill="0" applyBorder="0" applyAlignment="0" applyProtection="0">
      <x:alignment vertical="center"/>
    </x:xf>
    <x:xf numFmtId="0" fontId="9" fillId="0" borderId="0" applyNumberFormat="0" applyFill="0" applyBorder="0" applyAlignment="0" applyProtection="0">
      <x:alignment vertical="center"/>
    </x:xf>
    <x:xf numFmtId="0" fontId="10" fillId="0" borderId="0" applyNumberFormat="0" applyFill="0" applyBorder="0" applyAlignment="0" applyProtection="0">
      <x:alignment vertical="center"/>
    </x:xf>
    <x:xf numFmtId="0" fontId="11" fillId="0" borderId="19" applyNumberFormat="0" applyFill="0" applyAlignment="0" applyProtection="0">
      <x:alignment vertical="center"/>
    </x:xf>
    <x:xf numFmtId="0" fontId="12" fillId="0" borderId="19" applyNumberFormat="0" applyFill="0" applyAlignment="0" applyProtection="0">
      <x:alignment vertical="center"/>
    </x:xf>
    <x:xf numFmtId="0" fontId="13" fillId="0" borderId="20" applyNumberFormat="0" applyFill="0" applyAlignment="0" applyProtection="0">
      <x:alignment vertical="center"/>
    </x:xf>
    <x:xf numFmtId="0" fontId="13" fillId="0" borderId="0" applyNumberFormat="0" applyFill="0" applyBorder="0" applyAlignment="0" applyProtection="0">
      <x:alignment vertical="center"/>
    </x:xf>
    <x:xf numFmtId="0" fontId="14" fillId="7" borderId="21" applyNumberFormat="0" applyAlignment="0" applyProtection="0">
      <x:alignment vertical="center"/>
    </x:xf>
    <x:xf numFmtId="0" fontId="15" fillId="8" borderId="22" applyNumberFormat="0" applyAlignment="0" applyProtection="0">
      <x:alignment vertical="center"/>
    </x:xf>
    <x:xf numFmtId="0" fontId="16" fillId="8" borderId="21" applyNumberFormat="0" applyAlignment="0" applyProtection="0">
      <x:alignment vertical="center"/>
    </x:xf>
    <x:xf numFmtId="0" fontId="17" fillId="9" borderId="23" applyNumberFormat="0" applyAlignment="0" applyProtection="0">
      <x:alignment vertical="center"/>
    </x:xf>
    <x:xf numFmtId="0" fontId="18" fillId="0" borderId="24" applyNumberFormat="0" applyFill="0" applyAlignment="0" applyProtection="0">
      <x:alignment vertical="center"/>
    </x:xf>
    <x:xf numFmtId="0" fontId="19" fillId="0" borderId="25" applyNumberFormat="0" applyFill="0" applyAlignment="0" applyProtection="0">
      <x:alignment vertical="center"/>
    </x:xf>
    <x:xf numFmtId="0" fontId="20" fillId="10" borderId="0" applyNumberFormat="0" applyBorder="0" applyAlignment="0" applyProtection="0">
      <x:alignment vertical="center"/>
    </x:xf>
    <x:xf numFmtId="0" fontId="21" fillId="11" borderId="0" applyNumberFormat="0" applyBorder="0" applyAlignment="0" applyProtection="0">
      <x:alignment vertical="center"/>
    </x:xf>
    <x:xf numFmtId="0" fontId="22" fillId="12" borderId="0" applyNumberFormat="0" applyBorder="0" applyAlignment="0" applyProtection="0">
      <x:alignment vertical="center"/>
    </x:xf>
    <x:xf numFmtId="0" fontId="23" fillId="13" borderId="0" applyNumberFormat="0" applyBorder="0" applyAlignment="0" applyProtection="0">
      <x:alignment vertical="center"/>
    </x:xf>
    <x:xf numFmtId="0" fontId="24" fillId="14" borderId="0" applyNumberFormat="0" applyBorder="0" applyAlignment="0" applyProtection="0">
      <x:alignment vertical="center"/>
    </x:xf>
    <x:xf numFmtId="0" fontId="24" fillId="15" borderId="0" applyNumberFormat="0" applyBorder="0" applyAlignment="0" applyProtection="0">
      <x:alignment vertical="center"/>
    </x:xf>
    <x:xf numFmtId="0" fontId="23" fillId="16" borderId="0" applyNumberFormat="0" applyBorder="0" applyAlignment="0" applyProtection="0">
      <x:alignment vertical="center"/>
    </x:xf>
    <x:xf numFmtId="0" fontId="23" fillId="17" borderId="0" applyNumberFormat="0" applyBorder="0" applyAlignment="0" applyProtection="0">
      <x:alignment vertical="center"/>
    </x:xf>
    <x:xf numFmtId="0" fontId="24" fillId="18" borderId="0" applyNumberFormat="0" applyBorder="0" applyAlignment="0" applyProtection="0">
      <x:alignment vertical="center"/>
    </x:xf>
    <x:xf numFmtId="0" fontId="24" fillId="19" borderId="0" applyNumberFormat="0" applyBorder="0" applyAlignment="0" applyProtection="0">
      <x:alignment vertical="center"/>
    </x:xf>
    <x:xf numFmtId="0" fontId="23" fillId="20" borderId="0" applyNumberFormat="0" applyBorder="0" applyAlignment="0" applyProtection="0">
      <x:alignment vertical="center"/>
    </x:xf>
    <x:xf numFmtId="0" fontId="23" fillId="21" borderId="0" applyNumberFormat="0" applyBorder="0" applyAlignment="0" applyProtection="0">
      <x:alignment vertical="center"/>
    </x:xf>
    <x:xf numFmtId="0" fontId="24" fillId="22" borderId="0" applyNumberFormat="0" applyBorder="0" applyAlignment="0" applyProtection="0">
      <x:alignment vertical="center"/>
    </x:xf>
    <x:xf numFmtId="0" fontId="24" fillId="23" borderId="0" applyNumberFormat="0" applyBorder="0" applyAlignment="0" applyProtection="0">
      <x:alignment vertical="center"/>
    </x:xf>
    <x:xf numFmtId="0" fontId="23" fillId="24" borderId="0" applyNumberFormat="0" applyBorder="0" applyAlignment="0" applyProtection="0">
      <x:alignment vertical="center"/>
    </x:xf>
    <x:xf numFmtId="0" fontId="23" fillId="25" borderId="0" applyNumberFormat="0" applyBorder="0" applyAlignment="0" applyProtection="0">
      <x:alignment vertical="center"/>
    </x:xf>
    <x:xf numFmtId="0" fontId="24" fillId="26" borderId="0" applyNumberFormat="0" applyBorder="0" applyAlignment="0" applyProtection="0">
      <x:alignment vertical="center"/>
    </x:xf>
    <x:xf numFmtId="0" fontId="24" fillId="27" borderId="0" applyNumberFormat="0" applyBorder="0" applyAlignment="0" applyProtection="0">
      <x:alignment vertical="center"/>
    </x:xf>
    <x:xf numFmtId="0" fontId="23" fillId="28" borderId="0" applyNumberFormat="0" applyBorder="0" applyAlignment="0" applyProtection="0">
      <x:alignment vertical="center"/>
    </x:xf>
    <x:xf numFmtId="0" fontId="23" fillId="29" borderId="0" applyNumberFormat="0" applyBorder="0" applyAlignment="0" applyProtection="0">
      <x:alignment vertical="center"/>
    </x:xf>
    <x:xf numFmtId="0" fontId="24" fillId="30" borderId="0" applyNumberFormat="0" applyBorder="0" applyAlignment="0" applyProtection="0">
      <x:alignment vertical="center"/>
    </x:xf>
    <x:xf numFmtId="0" fontId="24" fillId="31" borderId="0" applyNumberFormat="0" applyBorder="0" applyAlignment="0" applyProtection="0">
      <x:alignment vertical="center"/>
    </x:xf>
    <x:xf numFmtId="0" fontId="23" fillId="32" borderId="0" applyNumberFormat="0" applyBorder="0" applyAlignment="0" applyProtection="0">
      <x:alignment vertical="center"/>
    </x:xf>
    <x:xf numFmtId="0" fontId="23" fillId="33" borderId="0" applyNumberFormat="0" applyBorder="0" applyAlignment="0" applyProtection="0">
      <x:alignment vertical="center"/>
    </x:xf>
    <x:xf numFmtId="0" fontId="24" fillId="34" borderId="0" applyNumberFormat="0" applyBorder="0" applyAlignment="0" applyProtection="0">
      <x:alignment vertical="center"/>
    </x:xf>
    <x:xf numFmtId="0" fontId="24" fillId="35" borderId="0" applyNumberFormat="0" applyBorder="0" applyAlignment="0" applyProtection="0">
      <x:alignment vertical="center"/>
    </x:xf>
    <x:xf numFmtId="0" fontId="23" fillId="36" borderId="0" applyNumberFormat="0" applyBorder="0" applyAlignment="0" applyProtection="0">
      <x:alignment vertical="center"/>
    </x:xf>
  </x:cellStyleXfs>
  <x:cellXfs count="229">
    <x:xf numFmtId="0" fontId="0" fillId="0" borderId="0" xfId="0"/>
    <x:xf numFmtId="0" fontId="1" fillId="2" borderId="1" xfId="0" applyFont="1" applyFill="1" applyBorder="1" applyAlignment="1">
      <x:alignment horizontal="center" vertical="center" wrapText="1"/>
    </x:xf>
    <x:xf numFmtId="0" fontId="1" fillId="2" borderId="2" xfId="0" applyFont="1" applyFill="1" applyBorder="1" applyAlignment="1">
      <x:alignment horizontal="center" vertical="center" wrapText="1"/>
    </x:xf>
    <x:xf numFmtId="0" fontId="1" fillId="2" borderId="3" xfId="0" applyFont="1" applyFill="1" applyBorder="1" applyAlignment="1">
      <x:alignment horizontal="center" vertical="center" wrapText="1"/>
    </x:xf>
    <x:xf numFmtId="0" fontId="1" fillId="2" borderId="4" xfId="0" applyFont="1" applyFill="1" applyBorder="1" applyAlignment="1">
      <x:alignment horizontal="center" vertical="center" wrapText="1"/>
    </x:xf>
    <x:xf numFmtId="0" fontId="1" fillId="2" borderId="5" xfId="0" applyFont="1" applyFill="1" applyBorder="1" applyAlignment="1">
      <x:alignment horizontal="center" vertical="center" wrapText="1"/>
    </x:xf>
    <x:xf numFmtId="0" fontId="1" fillId="2" borderId="6" xfId="0" applyFont="1" applyFill="1" applyBorder="1" applyAlignment="1">
      <x:alignment horizontal="center" vertical="center" wrapText="1"/>
    </x:xf>
    <x:xf numFmtId="0" fontId="1" fillId="2" borderId="7" xfId="0" applyFont="1" applyFill="1" applyBorder="1" applyAlignment="1">
      <x:alignment horizontal="center" vertical="center" wrapText="1"/>
    </x:xf>
    <x:xf numFmtId="0" fontId="1" fillId="2" borderId="8" xfId="0" applyFont="1" applyFill="1" applyBorder="1" applyAlignment="1">
      <x:alignment horizontal="center" vertical="center" wrapText="1"/>
    </x:xf>
    <x:xf numFmtId="0" fontId="1" fillId="2" borderId="9" xfId="0" applyFont="1" applyFill="1" applyBorder="1" applyAlignment="1">
      <x:alignment horizontal="center" vertical="center" wrapText="1"/>
    </x:xf>
    <x:xf numFmtId="0" fontId="2" fillId="3" borderId="9" xfId="0" applyFont="1" applyFill="1" applyBorder="1" applyAlignment="1">
      <x:alignment horizontal="left" vertical="center" wrapText="1"/>
    </x:xf>
    <x:xf numFmtId="3" fontId="2" fillId="3" borderId="6" xfId="0" applyNumberFormat="1" applyFont="1" applyFill="1" applyBorder="1" applyAlignment="1">
      <x:alignment horizontal="right" vertical="center"/>
    </x:xf>
    <x:xf numFmtId="3" fontId="2" fillId="3" borderId="7" xfId="0" applyNumberFormat="1" applyFont="1" applyFill="1" applyBorder="1" applyAlignment="1">
      <x:alignment horizontal="right" vertical="center"/>
    </x:xf>
    <x:xf numFmtId="3" fontId="2" fillId="3" borderId="8" xfId="0" applyNumberFormat="1" applyFont="1" applyFill="1" applyBorder="1" applyAlignment="1">
      <x:alignment horizontal="right" vertical="center"/>
    </x:xf>
    <x:xf numFmtId="10" fontId="2" fillId="3" borderId="6" xfId="0" applyNumberFormat="1" applyFont="1" applyFill="1" applyBorder="1" applyAlignment="1">
      <x:alignment horizontal="right" vertical="center"/>
    </x:xf>
    <x:xf numFmtId="10" fontId="2" fillId="3" borderId="7" xfId="0" applyNumberFormat="1" applyFont="1" applyFill="1" applyBorder="1" applyAlignment="1">
      <x:alignment horizontal="right" vertical="center"/>
    </x:xf>
    <x:xf numFmtId="10" fontId="2" fillId="3" borderId="8" xfId="0" applyNumberFormat="1" applyFont="1" applyFill="1" applyBorder="1" applyAlignment="1">
      <x:alignment horizontal="right" vertical="center"/>
    </x:xf>
    <x:xf numFmtId="4" fontId="2" fillId="3" borderId="6" xfId="0" applyNumberFormat="1" applyFont="1" applyFill="1" applyBorder="1" applyAlignment="1">
      <x:alignment horizontal="right" vertical="center"/>
    </x:xf>
    <x:xf numFmtId="4" fontId="2" fillId="3" borderId="7" xfId="0" applyNumberFormat="1" applyFont="1" applyFill="1" applyBorder="1" applyAlignment="1">
      <x:alignment horizontal="right" vertical="center"/>
    </x:xf>
    <x:xf numFmtId="4" fontId="2" fillId="3" borderId="8" xfId="0" applyNumberFormat="1" applyFont="1" applyFill="1" applyBorder="1" applyAlignment="1">
      <x:alignment horizontal="right" vertical="center"/>
    </x:xf>
    <x:xf numFmtId="0" fontId="1" fillId="3" borderId="9" xfId="0" applyFont="1" applyFill="1" applyBorder="1" applyAlignment="1">
      <x:alignment horizontal="left" vertical="center" wrapText="1"/>
    </x:xf>
    <x:xf numFmtId="4" fontId="1" fillId="3" borderId="6" xfId="0" applyNumberFormat="1" applyFont="1" applyFill="1" applyBorder="1" applyAlignment="1">
      <x:alignment horizontal="right" vertical="center"/>
    </x:xf>
    <x:xf numFmtId="4" fontId="1" fillId="3" borderId="7" xfId="0" applyNumberFormat="1" applyFont="1" applyFill="1" applyBorder="1" applyAlignment="1">
      <x:alignment horizontal="right" vertical="center"/>
    </x:xf>
    <x:xf numFmtId="4" fontId="1" fillId="3" borderId="8" xfId="0" applyNumberFormat="1" applyFont="1" applyFill="1" applyBorder="1" applyAlignment="1">
      <x:alignment horizontal="right" vertical="center"/>
    </x:xf>
    <x:xf numFmtId="0" fontId="1" fillId="2" borderId="10" xfId="0" applyFont="1" applyFill="1" applyBorder="1" applyAlignment="1">
      <x:alignment horizontal="left" vertical="center" wrapText="1"/>
    </x:xf>
    <x:xf numFmtId="4" fontId="1" fillId="2" borderId="11" xfId="0" applyNumberFormat="1" applyFont="1" applyFill="1" applyBorder="1" applyAlignment="1">
      <x:alignment horizontal="right" vertical="center"/>
    </x:xf>
    <x:xf numFmtId="4" fontId="1" fillId="2" borderId="12" xfId="0" applyNumberFormat="1" applyFont="1" applyFill="1" applyBorder="1" applyAlignment="1">
      <x:alignment horizontal="right" vertical="center"/>
    </x:xf>
    <x:xf numFmtId="4" fontId="1" fillId="2" borderId="13" xfId="0" applyNumberFormat="1" applyFont="1" applyFill="1" applyBorder="1" applyAlignment="1">
      <x:alignment horizontal="right" vertical="center"/>
    </x:xf>
    <x:xf numFmtId="0" fontId="3" fillId="4" borderId="9" xfId="0" applyFont="1" applyFill="1" applyBorder="1" applyAlignment="1">
      <x:alignment horizontal="left" vertical="center" wrapText="1"/>
    </x:xf>
    <x:xf numFmtId="4" fontId="3" fillId="4" borderId="6" xfId="0" applyNumberFormat="1" applyFont="1" applyFill="1" applyBorder="1" applyAlignment="1">
      <x:alignment horizontal="right" vertical="center"/>
    </x:xf>
    <x:xf numFmtId="4" fontId="3" fillId="4" borderId="7" xfId="0" applyNumberFormat="1" applyFont="1" applyFill="1" applyBorder="1" applyAlignment="1">
      <x:alignment horizontal="right" vertical="center"/>
    </x:xf>
    <x:xf numFmtId="4" fontId="3" fillId="4" borderId="8" xfId="0" applyNumberFormat="1" applyFont="1" applyFill="1" applyBorder="1" applyAlignment="1">
      <x:alignment horizontal="right" vertical="center"/>
    </x:xf>
    <x:xf numFmtId="0" fontId="4" fillId="5" borderId="14" xfId="0" applyFont="1" applyFill="1" applyBorder="1" applyAlignment="1">
      <x:alignment horizontal="left" vertical="center" wrapText="1"/>
    </x:xf>
    <x:xf numFmtId="4" fontId="4" fillId="5" borderId="15" xfId="0" applyNumberFormat="1" applyFont="1" applyFill="1" applyBorder="1" applyAlignment="1">
      <x:alignment horizontal="right" vertical="center"/>
    </x:xf>
    <x:xf numFmtId="4" fontId="4" fillId="5" borderId="16" xfId="0" applyNumberFormat="1" applyFont="1" applyFill="1" applyBorder="1" applyAlignment="1">
      <x:alignment horizontal="right" vertical="center"/>
    </x:xf>
    <x:xf numFmtId="4" fontId="4" fillId="5" borderId="17" xfId="0" applyNumberFormat="1" applyFont="1" applyFill="1" applyBorder="1" applyAlignment="1">
      <x:alignment horizontal="right" vertical="center"/>
    </x:xf>
    <x:xf numFmtId="3" fontId="2" fillId="37" borderId="6" xfId="0" applyNumberFormat="1" applyFont="1" applyFill="1" applyBorder="1" applyAlignment="1">
      <x:alignment horizontal="right" vertical="center"/>
    </x:xf>
    <x:xf numFmtId="3" fontId="2" fillId="37" borderId="7" xfId="0" applyNumberFormat="1" applyFont="1" applyFill="1" applyBorder="1" applyAlignment="1">
      <x:alignment horizontal="right" vertical="center"/>
    </x:xf>
    <x:xf numFmtId="3" fontId="2" fillId="37" borderId="8" xfId="0" applyNumberFormat="1" applyFont="1" applyFill="1" applyBorder="1" applyAlignment="1">
      <x:alignment horizontal="right" vertical="center"/>
    </x:xf>
    <x:xf numFmtId="3" fontId="25" fillId="37" borderId="6" xfId="0" applyNumberFormat="1" applyFont="1" applyFill="1" applyBorder="1" applyAlignment="1">
      <x:alignment horizontal="right" vertical="center"/>
    </x:xf>
    <x:xf numFmtId="3" fontId="25" fillId="37" borderId="7" xfId="0" applyNumberFormat="1" applyFont="1" applyFill="1" applyBorder="1" applyAlignment="1">
      <x:alignment horizontal="right" vertical="center"/>
    </x:xf>
    <x:xf numFmtId="3" fontId="25" fillId="37" borderId="8" xfId="0" applyNumberFormat="1" applyFont="1" applyFill="1" applyBorder="1" applyAlignment="1">
      <x:alignment horizontal="right" vertical="center"/>
    </x:xf>
    <x:xf numFmtId="4" fontId="2" fillId="37" borderId="6" xfId="0" applyNumberFormat="1" applyFont="1" applyFill="1" applyBorder="1" applyAlignment="1">
      <x:alignment horizontal="right" vertical="center"/>
    </x:xf>
    <x:xf numFmtId="4" fontId="2" fillId="37" borderId="7" xfId="0" applyNumberFormat="1" applyFont="1" applyFill="1" applyBorder="1" applyAlignment="1">
      <x:alignment horizontal="right" vertical="center"/>
    </x:xf>
    <x:xf numFmtId="4" fontId="2" fillId="37" borderId="8" xfId="0" applyNumberFormat="1" applyFont="1" applyFill="1" applyBorder="1" applyAlignment="1">
      <x:alignment horizontal="right" vertical="center"/>
    </x:xf>
    <x:xf numFmtId="4" fontId="25" fillId="37" borderId="6" xfId="0" applyNumberFormat="1" applyFont="1" applyFill="1" applyBorder="1" applyAlignment="1">
      <x:alignment horizontal="right" vertical="center"/>
    </x:xf>
    <x:xf numFmtId="4" fontId="25" fillId="37" borderId="7" xfId="0" applyNumberFormat="1" applyFont="1" applyFill="1" applyBorder="1" applyAlignment="1">
      <x:alignment horizontal="right" vertical="center"/>
    </x:xf>
    <x:xf numFmtId="4" fontId="25" fillId="37" borderId="8" xfId="0" applyNumberFormat="1" applyFont="1" applyFill="1" applyBorder="1" applyAlignment="1">
      <x:alignment horizontal="right" vertical="center"/>
    </x:xf>
    <x:xf numFmtId="4" fontId="3" fillId="37" borderId="6" xfId="0" applyNumberFormat="1" applyFont="1" applyFill="1" applyBorder="1" applyAlignment="1">
      <x:alignment horizontal="right" vertical="center"/>
    </x:xf>
    <x:xf numFmtId="4" fontId="3" fillId="37" borderId="7" xfId="0" applyNumberFormat="1" applyFont="1" applyFill="1" applyBorder="1" applyAlignment="1">
      <x:alignment horizontal="right" vertical="center"/>
    </x:xf>
    <x:xf numFmtId="4" fontId="3" fillId="37" borderId="8" xfId="0" applyNumberFormat="1" applyFont="1" applyFill="1" applyBorder="1" applyAlignment="1">
      <x:alignment horizontal="right" vertical="center"/>
    </x:xf>
    <x:xf numFmtId="4" fontId="1" fillId="37" borderId="6" xfId="0" applyNumberFormat="1" applyFont="1" applyFill="1" applyBorder="1" applyAlignment="1">
      <x:alignment horizontal="right" vertical="center"/>
    </x:xf>
    <x:xf numFmtId="4" fontId="1" fillId="37" borderId="7" xfId="0" applyNumberFormat="1" applyFont="1" applyFill="1" applyBorder="1" applyAlignment="1">
      <x:alignment horizontal="right" vertical="center"/>
    </x:xf>
    <x:xf numFmtId="4" fontId="1" fillId="37" borderId="8" xfId="0" applyNumberFormat="1" applyFont="1" applyFill="1" applyBorder="1" applyAlignment="1">
      <x:alignment horizontal="right" vertical="center"/>
    </x:xf>
    <x:xf numFmtId="4" fontId="26" fillId="37" borderId="6" xfId="0" applyNumberFormat="1" applyFont="1" applyFill="1" applyBorder="1" applyAlignment="1">
      <x:alignment horizontal="right" vertical="center"/>
    </x:xf>
    <x:xf numFmtId="4" fontId="26" fillId="37" borderId="7" xfId="0" applyNumberFormat="1" applyFont="1" applyFill="1" applyBorder="1" applyAlignment="1">
      <x:alignment horizontal="right" vertical="center"/>
    </x:xf>
    <x:xf numFmtId="4" fontId="26" fillId="37" borderId="8" xfId="0" applyNumberFormat="1" applyFont="1" applyFill="1" applyBorder="1" applyAlignment="1">
      <x:alignment horizontal="right" vertical="center"/>
    </x:xf>
    <x:xf numFmtId="4" fontId="1" fillId="5" borderId="15" xfId="0" applyNumberFormat="1" applyFont="1" applyFill="1" applyBorder="1" applyAlignment="1">
      <x:alignment horizontal="right" vertical="center"/>
    </x:xf>
    <x:xf numFmtId="4" fontId="1" fillId="5" borderId="16" xfId="0" applyNumberFormat="1" applyFont="1" applyFill="1" applyBorder="1" applyAlignment="1">
      <x:alignment horizontal="right" vertical="center"/>
    </x:xf>
    <x:xf numFmtId="4" fontId="1" fillId="5" borderId="17" xfId="0" applyNumberFormat="1" applyFont="1" applyFill="1" applyBorder="1" applyAlignment="1">
      <x:alignment horizontal="right"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vertical="center"/>
    </x:xf>
    <x:xf numFmtId="0" fontId="2" fillId="38" borderId="0" xfId="0" applyNumberFormat="1" applyFont="1" applyFill="1" applyBorder="1" applyAlignment="1">
      <x:alignment vertical="center"/>
    </x:xf>
    <x:xf numFmtId="0" fontId="1" fillId="38" borderId="0" xfId="0" applyNumberFormat="1" applyFont="1" applyFill="1" applyBorder="1" applyAlignment="1">
      <x:alignment vertical="center"/>
    </x:xf>
    <x:xf numFmtId="0" fontId="2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horizontal="right" vertical="center"/>
    </x:xf>
    <x:xf numFmtId="200" fontId="25" fillId="37" borderId="0" xfId="0" applyNumberFormat="1" applyFont="1" applyFill="1" applyBorder="1" applyAlignment="1">
      <x:alignment horizontal="right" vertical="center"/>
    </x:xf>
    <x:xf numFmtId="201" fontId="25" fillId="37" borderId="0" xfId="0" applyNumberFormat="1" applyFont="1" applyFill="1" applyBorder="1" applyAlignment="1">
      <x:alignment horizontal="right" vertical="center"/>
    </x:xf>
    <x:xf numFmtId="0" fontId="27" fillId="0" borderId="0" xfId="0" applyNumberFormat="1" applyFont="1" applyFill="1" applyBorder="1"/>
    <x:xf numFmtId="0" fontId="28" fillId="0" borderId="0" xfId="0" applyNumberFormat="1" applyFont="1" applyFill="1" applyBorder="1"/>
    <x:xf numFmtId="0" fontId="27" fillId="0" borderId="0" xfId="0" applyNumberFormat="1" applyFont="1" applyFill="1" applyBorder="1" applyAlignment="1">
      <x:alignment wrapText="1"/>
    </x:xf>
    <x:xf numFmtId="0" fontId="28" fillId="0" borderId="0" xfId="0" applyNumberFormat="1" applyFont="1" applyFill="1" applyBorder="1" applyAlignment="1">
      <x:alignment vertical="center"/>
    </x:xf>
    <x:xf numFmtId="0" fontId="27" fillId="0" borderId="0" xfId="0" applyNumberFormat="1" applyFont="1" applyFill="1" applyBorder="1" applyAlignment="1">
      <x:alignment vertical="center" wrapText="1"/>
    </x:xf>
    <x:xf numFmtId="0" fontId="27" fillId="0" borderId="0" xfId="0" applyNumberFormat="1" applyFont="1" applyFill="1" applyBorder="1" applyAlignment="1">
      <x:alignment vertical="center"/>
    </x:xf>
    <x:xf numFmtId="0" fontId="0" fillId="39" borderId="0" xfId="0" applyNumberFormat="1" applyFont="1" applyFill="1" applyBorder="1"/>
    <x:xf numFmtId="0" fontId="29" fillId="39" borderId="0" xfId="0" applyNumberFormat="1" applyFont="1" applyFill="1" applyBorder="1"/>
    <x:xf numFmtId="0" fontId="29" fillId="39" borderId="26" xfId="0" applyNumberFormat="1" applyFont="1" applyFill="1" applyBorder="1"/>
    <x:xf numFmtId="202" fontId="29" fillId="39" borderId="26" xfId="0" applyNumberFormat="1" applyFont="1" applyFill="1" applyBorder="1"/>
    <x:xf numFmtId="202" fontId="29" fillId="39" borderId="26" xfId="0" applyNumberFormat="1" applyFont="1" applyFill="1" applyBorder="1" applyAlignment="1">
      <x:alignment wrapText="1"/>
    </x:xf>
    <x:xf numFmtId="202" fontId="29" fillId="39" borderId="26" xfId="0" applyNumberFormat="1" applyFont="1" applyFill="1" applyBorder="1" applyAlignment="1">
      <x:alignment horizontal="left" wrapText="1"/>
    </x:xf>
    <x:xf numFmtId="202" fontId="29" fillId="39" borderId="26" xfId="0" applyNumberFormat="1" applyFont="1" applyFill="1" applyBorder="1" applyAlignment="1">
      <x:alignment horizontal="left" vertical="center" wrapText="1"/>
    </x:xf>
    <x:xf numFmtId="0" fontId="29" fillId="39" borderId="27" xfId="0" applyNumberFormat="1" applyFont="1" applyFill="1" applyBorder="1"/>
    <x:xf numFmtId="201" fontId="29" fillId="39" borderId="27" xfId="0" applyNumberFormat="1" applyFont="1" applyFill="1" applyBorder="1"/>
    <x:xf numFmtId="201" fontId="29" fillId="39" borderId="27" xfId="0" applyNumberFormat="1" applyFont="1" applyFill="1" applyBorder="1" applyAlignment="1">
      <x:alignment wrapText="0"/>
    </x:xf>
    <x:xf numFmtId="201" fontId="29" fillId="39" borderId="27" xfId="0" applyNumberFormat="1" applyFont="1" applyFill="1" applyBorder="1" applyAlignment="1">
      <x:alignment horizontal="right" wrapText="0"/>
    </x:xf>
    <x:xf numFmtId="201" fontId="29" fillId="39" borderId="27" xfId="0" applyNumberFormat="1" applyFont="1" applyFill="1" applyBorder="1" applyAlignment="1">
      <x:alignment horizontal="right" vertical="center" wrapText="0"/>
    </x:xf>
    <x:xf numFmtId="0" fontId="29" fillId="39" borderId="7" xfId="0" applyNumberFormat="1" applyFont="1" applyFill="1" applyBorder="1"/>
    <x:xf numFmtId="201" fontId="29" fillId="39" borderId="7" xfId="0" applyNumberFormat="1" applyFont="1" applyFill="1" applyBorder="1"/>
    <x:xf numFmtId="201" fontId="29" fillId="39" borderId="7" xfId="0" applyNumberFormat="1" applyFont="1" applyFill="1" applyBorder="1" applyAlignment="1">
      <x:alignment wrapText="0"/>
    </x:xf>
    <x:xf numFmtId="201" fontId="29" fillId="39" borderId="7" xfId="0" applyNumberFormat="1" applyFont="1" applyFill="1" applyBorder="1" applyAlignment="1">
      <x:alignment horizontal="right" wrapText="0"/>
    </x:xf>
    <x:xf numFmtId="201" fontId="29" fillId="39" borderId="7" xfId="0" applyNumberFormat="1" applyFont="1" applyFill="1" applyBorder="1" applyAlignment="1">
      <x:alignment horizontal="right" vertical="center" wrapText="0"/>
    </x:xf>
    <x:xf numFmtId="0" fontId="29" fillId="39" borderId="28" xfId="0" applyNumberFormat="1" applyFont="1" applyFill="1" applyBorder="1"/>
    <x:xf numFmtId="201" fontId="29" fillId="39" borderId="28" xfId="0" applyNumberFormat="1" applyFont="1" applyFill="1" applyBorder="1"/>
    <x:xf numFmtId="201" fontId="29" fillId="39" borderId="28" xfId="0" applyNumberFormat="1" applyFont="1" applyFill="1" applyBorder="1" applyAlignment="1">
      <x:alignment wrapText="0"/>
    </x:xf>
    <x:xf numFmtId="201" fontId="29" fillId="39" borderId="28" xfId="0" applyNumberFormat="1" applyFont="1" applyFill="1" applyBorder="1" applyAlignment="1">
      <x:alignment horizontal="right" wrapText="0"/>
    </x:xf>
    <x:xf numFmtId="201" fontId="29" fillId="39" borderId="28" xfId="0" applyNumberFormat="1" applyFont="1" applyFill="1" applyBorder="1" applyAlignment="1">
      <x:alignment horizontal="right" vertical="center" wrapText="0"/>
    </x:xf>
    <x:xf numFmtId="0" fontId="30" fillId="39" borderId="0" xfId="0" applyNumberFormat="1" applyFont="1" applyFill="1" applyBorder="1"/>
    <x:xf numFmtId="0" fontId="30" fillId="39" borderId="26" xfId="0" applyNumberFormat="1" applyFont="1" applyFill="1" applyBorder="1"/>
    <x:xf numFmtId="202" fontId="30" fillId="39" borderId="26" xfId="0" applyNumberFormat="1" applyFont="1" applyFill="1" applyBorder="1"/>
    <x:xf numFmtId="202" fontId="30" fillId="39" borderId="26" xfId="0" applyNumberFormat="1" applyFont="1" applyFill="1" applyBorder="1" applyAlignment="1">
      <x:alignment wrapText="1"/>
    </x:xf>
    <x:xf numFmtId="202" fontId="30" fillId="39" borderId="26" xfId="0" applyNumberFormat="1" applyFont="1" applyFill="1" applyBorder="1" applyAlignment="1">
      <x:alignment horizontal="left" wrapText="1"/>
    </x:xf>
    <x:xf numFmtId="202" fontId="30" fillId="39" borderId="26" xfId="0" applyNumberFormat="1" applyFont="1" applyFill="1" applyBorder="1" applyAlignment="1">
      <x:alignment horizontal="left" vertical="center" wrapText="1"/>
    </x:xf>
    <x:xf numFmtId="0" fontId="30" fillId="39" borderId="27" xfId="0" applyNumberFormat="1" applyFont="1" applyFill="1" applyBorder="1"/>
    <x:xf numFmtId="201" fontId="30" fillId="39" borderId="27" xfId="0" applyNumberFormat="1" applyFont="1" applyFill="1" applyBorder="1"/>
    <x:xf numFmtId="201" fontId="30" fillId="39" borderId="27" xfId="0" applyNumberFormat="1" applyFont="1" applyFill="1" applyBorder="1" applyAlignment="1">
      <x:alignment wrapText="0"/>
    </x:xf>
    <x:xf numFmtId="201" fontId="30" fillId="39" borderId="27" xfId="0" applyNumberFormat="1" applyFont="1" applyFill="1" applyBorder="1" applyAlignment="1">
      <x:alignment horizontal="right" wrapText="0"/>
    </x:xf>
    <x:xf numFmtId="201" fontId="30" fillId="39" borderId="27" xfId="0" applyNumberFormat="1" applyFont="1" applyFill="1" applyBorder="1" applyAlignment="1">
      <x:alignment horizontal="right" vertical="center" wrapText="0"/>
    </x:xf>
    <x:xf numFmtId="0" fontId="30" fillId="39" borderId="7" xfId="0" applyNumberFormat="1" applyFont="1" applyFill="1" applyBorder="1"/>
    <x:xf numFmtId="201" fontId="30" fillId="39" borderId="7" xfId="0" applyNumberFormat="1" applyFont="1" applyFill="1" applyBorder="1"/>
    <x:xf numFmtId="201" fontId="30" fillId="39" borderId="7" xfId="0" applyNumberFormat="1" applyFont="1" applyFill="1" applyBorder="1" applyAlignment="1">
      <x:alignment wrapText="0"/>
    </x:xf>
    <x:xf numFmtId="201" fontId="30" fillId="39" borderId="7" xfId="0" applyNumberFormat="1" applyFont="1" applyFill="1" applyBorder="1" applyAlignment="1">
      <x:alignment horizontal="right" wrapText="0"/>
    </x:xf>
    <x:xf numFmtId="201" fontId="30" fillId="39" borderId="7" xfId="0" applyNumberFormat="1" applyFont="1" applyFill="1" applyBorder="1" applyAlignment="1">
      <x:alignment horizontal="right" vertical="center" wrapText="0"/>
    </x:xf>
    <x:xf numFmtId="0" fontId="30" fillId="39" borderId="28" xfId="0" applyNumberFormat="1" applyFont="1" applyFill="1" applyBorder="1"/>
    <x:xf numFmtId="201" fontId="30" fillId="39" borderId="28" xfId="0" applyNumberFormat="1" applyFont="1" applyFill="1" applyBorder="1"/>
    <x:xf numFmtId="201" fontId="30" fillId="39" borderId="28" xfId="0" applyNumberFormat="1" applyFont="1" applyFill="1" applyBorder="1" applyAlignment="1">
      <x:alignment wrapText="0"/>
    </x:xf>
    <x:xf numFmtId="201" fontId="30" fillId="39" borderId="28" xfId="0" applyNumberFormat="1" applyFont="1" applyFill="1" applyBorder="1" applyAlignment="1">
      <x:alignment horizontal="right" wrapText="0"/>
    </x:xf>
    <x:xf numFmtId="201" fontId="30" fillId="39" borderId="28" xfId="0" applyNumberFormat="1" applyFont="1" applyFill="1" applyBorder="1" applyAlignment="1">
      <x:alignment horizontal="right" vertical="center" wrapText="0"/>
    </x:xf>
    <x:xf numFmtId="0" fontId="0" fillId="40" borderId="0" xfId="0" applyNumberFormat="1" applyFont="1" applyFill="1" applyBorder="1"/>
    <x:xf numFmtId="0" fontId="31" fillId="40" borderId="0" xfId="0" applyNumberFormat="1" applyFont="1" applyFill="1" applyBorder="1"/>
    <x:xf numFmtId="0" fontId="31" fillId="40" borderId="27" xfId="0" applyNumberFormat="1" applyFont="1" applyFill="1" applyBorder="1"/>
    <x:xf numFmtId="201" fontId="31" fillId="40" borderId="27" xfId="0" applyNumberFormat="1" applyFont="1" applyFill="1" applyBorder="1"/>
    <x:xf numFmtId="201" fontId="31" fillId="40" borderId="27" xfId="0" applyNumberFormat="1" applyFont="1" applyFill="1" applyBorder="1" applyAlignment="1">
      <x:alignment wrapText="0"/>
    </x:xf>
    <x:xf numFmtId="201" fontId="31" fillId="40" borderId="27" xfId="0" applyNumberFormat="1" applyFont="1" applyFill="1" applyBorder="1" applyAlignment="1">
      <x:alignment horizontal="right" wrapText="0"/>
    </x:xf>
    <x:xf numFmtId="201" fontId="31" fillId="40" borderId="27" xfId="0" applyNumberFormat="1" applyFont="1" applyFill="1" applyBorder="1" applyAlignment="1">
      <x:alignment horizontal="right" vertical="center" wrapText="0"/>
    </x:xf>
    <x:xf numFmtId="0" fontId="31" fillId="40" borderId="7" xfId="0" applyNumberFormat="1" applyFont="1" applyFill="1" applyBorder="1"/>
    <x:xf numFmtId="201" fontId="31" fillId="40" borderId="7" xfId="0" applyNumberFormat="1" applyFont="1" applyFill="1" applyBorder="1"/>
    <x:xf numFmtId="201" fontId="31" fillId="40" borderId="7" xfId="0" applyNumberFormat="1" applyFont="1" applyFill="1" applyBorder="1" applyAlignment="1">
      <x:alignment wrapText="0"/>
    </x:xf>
    <x:xf numFmtId="201" fontId="31" fillId="40" borderId="7" xfId="0" applyNumberFormat="1" applyFont="1" applyFill="1" applyBorder="1" applyAlignment="1">
      <x:alignment horizontal="right" wrapText="0"/>
    </x:xf>
    <x:xf numFmtId="201" fontId="31" fillId="40" borderId="7" xfId="0" applyNumberFormat="1" applyFont="1" applyFill="1" applyBorder="1" applyAlignment="1">
      <x:alignment horizontal="right" vertical="center" wrapText="0"/>
    </x:xf>
    <x:xf numFmtId="0" fontId="31" fillId="40" borderId="28" xfId="0" applyNumberFormat="1" applyFont="1" applyFill="1" applyBorder="1"/>
    <x:xf numFmtId="201" fontId="31" fillId="40" borderId="28" xfId="0" applyNumberFormat="1" applyFont="1" applyFill="1" applyBorder="1"/>
    <x:xf numFmtId="201" fontId="31" fillId="40" borderId="28" xfId="0" applyNumberFormat="1" applyFont="1" applyFill="1" applyBorder="1" applyAlignment="1">
      <x:alignment wrapText="0"/>
    </x:xf>
    <x:xf numFmtId="201" fontId="31" fillId="40" borderId="28" xfId="0" applyNumberFormat="1" applyFont="1" applyFill="1" applyBorder="1" applyAlignment="1">
      <x:alignment horizontal="right" wrapText="0"/>
    </x:xf>
    <x:xf numFmtId="201" fontId="31" fillId="40" borderId="28" xfId="0" applyNumberFormat="1" applyFont="1" applyFill="1" applyBorder="1" applyAlignment="1">
      <x:alignment horizontal="right" vertical="center" wrapText="0"/>
    </x:xf>
    <x:xf numFmtId="0" fontId="0" fillId="41" borderId="0" xfId="0" applyNumberFormat="1" applyFont="1" applyFill="1" applyBorder="1"/>
    <x:xf numFmtId="0" fontId="29" fillId="41" borderId="0" xfId="0" applyNumberFormat="1" applyFont="1" applyFill="1" applyBorder="1"/>
    <x:xf numFmtId="0" fontId="29" fillId="41" borderId="29" xfId="0" applyNumberFormat="1" applyFont="1" applyFill="1" applyBorder="1"/>
    <x:xf numFmtId="202" fontId="29" fillId="41" borderId="29" xfId="0" applyNumberFormat="1" applyFont="1" applyFill="1" applyBorder="1"/>
    <x:xf numFmtId="202" fontId="29" fillId="41" borderId="29" xfId="0" applyNumberFormat="1" applyFont="1" applyFill="1" applyBorder="1" applyAlignment="1">
      <x:alignment wrapText="1"/>
    </x:xf>
    <x:xf numFmtId="202" fontId="29" fillId="41" borderId="29" xfId="0" applyNumberFormat="1" applyFont="1" applyFill="1" applyBorder="1" applyAlignment="1">
      <x:alignment horizontal="left" wrapText="1"/>
    </x:xf>
    <x:xf numFmtId="202" fontId="29" fillId="41" borderId="29" xfId="0" applyNumberFormat="1" applyFont="1" applyFill="1" applyBorder="1" applyAlignment="1">
      <x:alignment horizontal="left" vertical="center" wrapText="1"/>
    </x:xf>
    <x:xf numFmtId="0" fontId="29" fillId="41" borderId="30" xfId="0" applyNumberFormat="1" applyFont="1" applyFill="1" applyBorder="1"/>
    <x:xf numFmtId="201" fontId="29" fillId="41" borderId="30" xfId="0" applyNumberFormat="1" applyFont="1" applyFill="1" applyBorder="1"/>
    <x:xf numFmtId="201" fontId="29" fillId="41" borderId="30" xfId="0" applyNumberFormat="1" applyFont="1" applyFill="1" applyBorder="1" applyAlignment="1">
      <x:alignment wrapText="0"/>
    </x:xf>
    <x:xf numFmtId="201" fontId="29" fillId="41" borderId="30" xfId="0" applyNumberFormat="1" applyFont="1" applyFill="1" applyBorder="1" applyAlignment="1">
      <x:alignment horizontal="right" wrapText="0"/>
    </x:xf>
    <x:xf numFmtId="201" fontId="29" fillId="41" borderId="30" xfId="0" applyNumberFormat="1" applyFont="1" applyFill="1" applyBorder="1" applyAlignment="1">
      <x:alignment horizontal="right" vertical="center" wrapText="0"/>
    </x:xf>
    <x:xf numFmtId="0" fontId="29" fillId="41" borderId="12" xfId="0" applyNumberFormat="1" applyFont="1" applyFill="1" applyBorder="1"/>
    <x:xf numFmtId="201" fontId="29" fillId="41" borderId="12" xfId="0" applyNumberFormat="1" applyFont="1" applyFill="1" applyBorder="1"/>
    <x:xf numFmtId="201" fontId="29" fillId="41" borderId="12" xfId="0" applyNumberFormat="1" applyFont="1" applyFill="1" applyBorder="1" applyAlignment="1">
      <x:alignment wrapText="0"/>
    </x:xf>
    <x:xf numFmtId="201" fontId="29" fillId="41" borderId="12" xfId="0" applyNumberFormat="1" applyFont="1" applyFill="1" applyBorder="1" applyAlignment="1">
      <x:alignment horizontal="right" wrapText="0"/>
    </x:xf>
    <x:xf numFmtId="201" fontId="29" fillId="41" borderId="12" xfId="0" applyNumberFormat="1" applyFont="1" applyFill="1" applyBorder="1" applyAlignment="1">
      <x:alignment horizontal="right" vertical="center" wrapText="0"/>
    </x:xf>
    <x:xf numFmtId="0" fontId="29" fillId="41" borderId="31" xfId="0" applyNumberFormat="1" applyFont="1" applyFill="1" applyBorder="1"/>
    <x:xf numFmtId="201" fontId="29" fillId="41" borderId="31" xfId="0" applyNumberFormat="1" applyFont="1" applyFill="1" applyBorder="1"/>
    <x:xf numFmtId="201" fontId="29" fillId="41" borderId="31" xfId="0" applyNumberFormat="1" applyFont="1" applyFill="1" applyBorder="1" applyAlignment="1">
      <x:alignment wrapText="0"/>
    </x:xf>
    <x:xf numFmtId="201" fontId="29" fillId="41" borderId="31" xfId="0" applyNumberFormat="1" applyFont="1" applyFill="1" applyBorder="1" applyAlignment="1">
      <x:alignment horizontal="right" wrapText="0"/>
    </x:xf>
    <x:xf numFmtId="201" fontId="29" fillId="41" borderId="31" xfId="0" applyNumberFormat="1" applyFont="1" applyFill="1" applyBorder="1" applyAlignment="1">
      <x:alignment horizontal="right" vertical="center" wrapText="0"/>
    </x:xf>
    <x:xf numFmtId="0" fontId="32" fillId="40" borderId="0" xfId="0" applyNumberFormat="1" applyFont="1" applyFill="1" applyBorder="1"/>
    <x:xf numFmtId="0" fontId="32" fillId="40" borderId="27" xfId="0" applyNumberFormat="1" applyFont="1" applyFill="1" applyBorder="1"/>
    <x:xf numFmtId="201" fontId="32" fillId="40" borderId="27" xfId="0" applyNumberFormat="1" applyFont="1" applyFill="1" applyBorder="1"/>
    <x:xf numFmtId="201" fontId="32" fillId="40" borderId="27" xfId="0" applyNumberFormat="1" applyFont="1" applyFill="1" applyBorder="1" applyAlignment="1">
      <x:alignment wrapText="0"/>
    </x:xf>
    <x:xf numFmtId="201" fontId="32" fillId="40" borderId="27" xfId="0" applyNumberFormat="1" applyFont="1" applyFill="1" applyBorder="1" applyAlignment="1">
      <x:alignment horizontal="right" wrapText="0"/>
    </x:xf>
    <x:xf numFmtId="201" fontId="32" fillId="40" borderId="27" xfId="0" applyNumberFormat="1" applyFont="1" applyFill="1" applyBorder="1" applyAlignment="1">
      <x:alignment horizontal="right" vertical="center" wrapText="0"/>
    </x:xf>
    <x:xf numFmtId="0" fontId="32" fillId="40" borderId="7" xfId="0" applyNumberFormat="1" applyFont="1" applyFill="1" applyBorder="1"/>
    <x:xf numFmtId="201" fontId="32" fillId="40" borderId="7" xfId="0" applyNumberFormat="1" applyFont="1" applyFill="1" applyBorder="1"/>
    <x:xf numFmtId="201" fontId="32" fillId="40" borderId="7" xfId="0" applyNumberFormat="1" applyFont="1" applyFill="1" applyBorder="1" applyAlignment="1">
      <x:alignment wrapText="0"/>
    </x:xf>
    <x:xf numFmtId="201" fontId="32" fillId="40" borderId="7" xfId="0" applyNumberFormat="1" applyFont="1" applyFill="1" applyBorder="1" applyAlignment="1">
      <x:alignment horizontal="right" wrapText="0"/>
    </x:xf>
    <x:xf numFmtId="201" fontId="32" fillId="40" borderId="7" xfId="0" applyNumberFormat="1" applyFont="1" applyFill="1" applyBorder="1" applyAlignment="1">
      <x:alignment horizontal="right" vertical="center" wrapText="0"/>
    </x:xf>
    <x:xf numFmtId="0" fontId="32" fillId="40" borderId="28" xfId="0" applyNumberFormat="1" applyFont="1" applyFill="1" applyBorder="1"/>
    <x:xf numFmtId="201" fontId="32" fillId="40" borderId="28" xfId="0" applyNumberFormat="1" applyFont="1" applyFill="1" applyBorder="1"/>
    <x:xf numFmtId="201" fontId="32" fillId="40" borderId="28" xfId="0" applyNumberFormat="1" applyFont="1" applyFill="1" applyBorder="1" applyAlignment="1">
      <x:alignment wrapText="0"/>
    </x:xf>
    <x:xf numFmtId="201" fontId="32" fillId="40" borderId="28" xfId="0" applyNumberFormat="1" applyFont="1" applyFill="1" applyBorder="1" applyAlignment="1">
      <x:alignment horizontal="right" wrapText="0"/>
    </x:xf>
    <x:xf numFmtId="201" fontId="32" fillId="40" borderId="28" xfId="0" applyNumberFormat="1" applyFont="1" applyFill="1" applyBorder="1" applyAlignment="1">
      <x:alignment horizontal="right" vertical="center" wrapText="0"/>
    </x:xf>
    <x:xf numFmtId="0" fontId="0" fillId="42" borderId="0" xfId="0" applyNumberFormat="1" applyFont="1" applyFill="1" applyBorder="1"/>
    <x:xf numFmtId="0" fontId="33" fillId="42" borderId="0" xfId="0" applyNumberFormat="1" applyFont="1" applyFill="1" applyBorder="1"/>
    <x:xf numFmtId="0" fontId="33" fillId="42" borderId="32" xfId="0" applyNumberFormat="1" applyFont="1" applyFill="1" applyBorder="1"/>
    <x:xf numFmtId="202" fontId="33" fillId="42" borderId="32" xfId="0" applyNumberFormat="1" applyFont="1" applyFill="1" applyBorder="1"/>
    <x:xf numFmtId="202" fontId="33" fillId="42" borderId="32" xfId="0" applyNumberFormat="1" applyFont="1" applyFill="1" applyBorder="1" applyAlignment="1">
      <x:alignment wrapText="1"/>
    </x:xf>
    <x:xf numFmtId="202" fontId="33" fillId="42" borderId="32" xfId="0" applyNumberFormat="1" applyFont="1" applyFill="1" applyBorder="1" applyAlignment="1">
      <x:alignment horizontal="left" wrapText="1"/>
    </x:xf>
    <x:xf numFmtId="202" fontId="33" fillId="42" borderId="32" xfId="0" applyNumberFormat="1" applyFont="1" applyFill="1" applyBorder="1" applyAlignment="1">
      <x:alignment horizontal="left" vertical="center" wrapText="1"/>
    </x:xf>
    <x:xf numFmtId="0" fontId="29" fillId="42" borderId="0" xfId="0" applyNumberFormat="1" applyFont="1" applyFill="1" applyBorder="1"/>
    <x:xf numFmtId="0" fontId="29" fillId="42" borderId="33" xfId="0" applyNumberFormat="1" applyFont="1" applyFill="1" applyBorder="1"/>
    <x:xf numFmtId="201" fontId="29" fillId="42" borderId="33" xfId="0" applyNumberFormat="1" applyFont="1" applyFill="1" applyBorder="1"/>
    <x:xf numFmtId="201" fontId="29" fillId="42" borderId="33" xfId="0" applyNumberFormat="1" applyFont="1" applyFill="1" applyBorder="1" applyAlignment="1">
      <x:alignment wrapText="0"/>
    </x:xf>
    <x:xf numFmtId="201" fontId="29" fillId="42" borderId="33" xfId="0" applyNumberFormat="1" applyFont="1" applyFill="1" applyBorder="1" applyAlignment="1">
      <x:alignment horizontal="right" wrapText="0"/>
    </x:xf>
    <x:xf numFmtId="201" fontId="29" fillId="42" borderId="33" xfId="0" applyNumberFormat="1" applyFont="1" applyFill="1" applyBorder="1" applyAlignment="1">
      <x:alignment horizontal="right" vertical="center" wrapText="0"/>
    </x:xf>
    <x:xf numFmtId="0" fontId="29" fillId="42" borderId="34" xfId="0" applyNumberFormat="1" applyFont="1" applyFill="1" applyBorder="1"/>
    <x:xf numFmtId="201" fontId="29" fillId="42" borderId="34" xfId="0" applyNumberFormat="1" applyFont="1" applyFill="1" applyBorder="1"/>
    <x:xf numFmtId="201" fontId="29" fillId="42" borderId="34" xfId="0" applyNumberFormat="1" applyFont="1" applyFill="1" applyBorder="1" applyAlignment="1">
      <x:alignment wrapText="0"/>
    </x:xf>
    <x:xf numFmtId="201" fontId="29" fillId="42" borderId="34" xfId="0" applyNumberFormat="1" applyFont="1" applyFill="1" applyBorder="1" applyAlignment="1">
      <x:alignment horizontal="right" wrapText="0"/>
    </x:xf>
    <x:xf numFmtId="201" fontId="29" fillId="42" borderId="34" xfId="0" applyNumberFormat="1" applyFont="1" applyFill="1" applyBorder="1" applyAlignment="1">
      <x:alignment horizontal="right" vertical="center" wrapText="0"/>
    </x:xf>
    <x:xf numFmtId="0" fontId="29" fillId="42" borderId="35" xfId="0" applyNumberFormat="1" applyFont="1" applyFill="1" applyBorder="1"/>
    <x:xf numFmtId="201" fontId="29" fillId="42" borderId="35" xfId="0" applyNumberFormat="1" applyFont="1" applyFill="1" applyBorder="1"/>
    <x:xf numFmtId="201" fontId="29" fillId="42" borderId="35" xfId="0" applyNumberFormat="1" applyFont="1" applyFill="1" applyBorder="1" applyAlignment="1">
      <x:alignment wrapText="0"/>
    </x:xf>
    <x:xf numFmtId="201" fontId="29" fillId="42" borderId="35" xfId="0" applyNumberFormat="1" applyFont="1" applyFill="1" applyBorder="1" applyAlignment="1">
      <x:alignment horizontal="right" wrapText="0"/>
    </x:xf>
    <x:xf numFmtId="201" fontId="29" fillId="42" borderId="35" xfId="0" applyNumberFormat="1" applyFont="1" applyFill="1" applyBorder="1" applyAlignment="1">
      <x:alignment horizontal="right" vertical="center" wrapText="0"/>
    </x:xf>
    <x:xf numFmtId="0" fontId="0" fillId="43" borderId="0" xfId="0" applyNumberFormat="1" applyFont="1" applyFill="1" applyBorder="1"/>
    <x:xf numFmtId="0" fontId="29" fillId="43" borderId="0" xfId="0" applyNumberFormat="1" applyFont="1" applyFill="1" applyBorder="1"/>
    <x:xf numFmtId="202" fontId="29" fillId="43" borderId="0" xfId="0" applyNumberFormat="1" applyFont="1" applyFill="1" applyBorder="1"/>
    <x:xf numFmtId="202" fontId="29" fillId="43" borderId="0" xfId="0" applyNumberFormat="1" applyFont="1" applyFill="1" applyBorder="1" applyAlignment="1">
      <x:alignment wrapText="0"/>
    </x:xf>
    <x:xf numFmtId="202" fontId="29" fillId="43" borderId="0" xfId="0" applyNumberFormat="1" applyFont="1" applyFill="1" applyBorder="1" applyAlignment="1">
      <x:alignment vertical="center" wrapText="0"/>
    </x:xf>
    <x:xf numFmtId="0" fontId="30" fillId="0" borderId="0" xfId="0" applyNumberFormat="1" applyFont="1" applyFill="1" applyBorder="1"/>
    <x:xf numFmtId="202" fontId="30" fillId="0" borderId="0" xfId="0" applyNumberFormat="1" applyFont="1" applyFill="1" applyBorder="1"/>
    <x:xf numFmtId="202" fontId="30" fillId="0" borderId="0" xfId="0" applyNumberFormat="1" applyFont="1" applyFill="1" applyBorder="1" applyAlignment="1">
      <x:alignment wrapText="0"/>
    </x:xf>
    <x:xf numFmtId="202" fontId="30" fillId="0" borderId="0" xfId="0" applyNumberFormat="1" applyFont="1" applyFill="1" applyBorder="1" applyAlignment="1">
      <x:alignment vertical="center" wrapText="0"/>
    </x:xf>
    <x:xf numFmtId="200" fontId="31" fillId="40" borderId="0" xfId="0" applyNumberFormat="1" applyFont="1" applyFill="1" applyBorder="1"/>
    <x:xf numFmtId="200" fontId="31" fillId="40" borderId="0" xfId="0" applyNumberFormat="1" applyFont="1" applyFill="1" applyBorder="1" applyAlignment="1">
      <x:alignment wrapText="0"/>
    </x:xf>
    <x:xf numFmtId="200" fontId="31" fillId="40" borderId="0" xfId="0" applyNumberFormat="1" applyFont="1" applyFill="1" applyBorder="1" applyAlignment="1">
      <x:alignment horizontal="right" wrapText="0"/>
    </x:xf>
    <x:xf numFmtId="200" fontId="31" fillId="40" borderId="0" xfId="0" applyNumberFormat="1" applyFont="1" applyFill="1" applyBorder="1" applyAlignment="1">
      <x:alignment horizontal="right" vertical="center" wrapText="0"/>
    </x:xf>
    <x:xf numFmtId="201" fontId="31" fillId="40" borderId="0" xfId="0" applyNumberFormat="1" applyFont="1" applyFill="1" applyBorder="1"/>
    <x:xf numFmtId="201" fontId="31" fillId="40" borderId="0" xfId="0" applyNumberFormat="1" applyFont="1" applyFill="1" applyBorder="1" applyAlignment="1">
      <x:alignment wrapText="0"/>
    </x:xf>
    <x:xf numFmtId="201" fontId="31" fillId="40" borderId="0" xfId="0" applyNumberFormat="1" applyFont="1" applyFill="1" applyBorder="1" applyAlignment="1">
      <x:alignment horizontal="right" wrapText="0"/>
    </x:xf>
    <x:xf numFmtId="201" fontId="31" fillId="40" borderId="0" xfId="0" applyNumberFormat="1" applyFont="1" applyFill="1" applyBorder="1" applyAlignment="1">
      <x:alignment horizontal="right" vertical="center" wrapText="0"/>
    </x:xf>
    <x:xf numFmtId="0" fontId="34" fillId="0" borderId="0" xfId="0" applyNumberFormat="1" applyFont="1" applyFill="1" applyBorder="1"/>
    <x:xf numFmtId="202" fontId="34" fillId="0" borderId="0" xfId="0" applyNumberFormat="1" applyFont="1" applyFill="1" applyBorder="1"/>
    <x:xf numFmtId="202" fontId="34" fillId="0" borderId="0" xfId="0" applyNumberFormat="1" applyFont="1" applyFill="1" applyBorder="1" applyAlignment="1">
      <x:alignment wrapText="0"/>
    </x:xf>
    <x:xf numFmtId="202" fontId="34" fillId="0" borderId="0" xfId="0" applyNumberFormat="1" applyFont="1" applyFill="1" applyBorder="1" applyAlignment="1">
      <x:alignment vertical="center" wrapText="0"/>
    </x:xf>
    <x:xf numFmtId="0" fontId="35" fillId="0" borderId="0" xfId="0" applyNumberFormat="1" applyFont="1" applyFill="1" applyBorder="1"/>
    <x:xf numFmtId="202" fontId="35" fillId="0" borderId="0" xfId="0" applyNumberFormat="1" applyFont="1" applyFill="1" applyBorder="1"/>
    <x:xf numFmtId="202" fontId="35" fillId="0" borderId="0" xfId="0" applyNumberFormat="1" applyFont="1" applyFill="1" applyBorder="1" applyAlignment="1">
      <x:alignment wrapText="1"/>
    </x:xf>
    <x:xf numFmtId="202" fontId="35" fillId="0" borderId="0" xfId="0" applyNumberFormat="1" applyFont="1" applyFill="1" applyBorder="1" applyAlignment="1">
      <x:alignment vertical="center" wrapText="1"/>
    </x:xf>
    <x:xf numFmtId="202" fontId="35" fillId="0" borderId="0" xfId="0" applyNumberFormat="1" applyFont="1" applyFill="1" applyBorder="1" applyAlignment="1">
      <x:alignment wrapText="0"/>
    </x:xf>
    <x:xf numFmtId="202" fontId="35" fillId="0" borderId="0" xfId="0" applyNumberFormat="1" applyFont="1" applyFill="1" applyBorder="1" applyAlignment="1">
      <x:alignment vertical="center" wrapText="0"/>
    </x:xf>
    <x:xf numFmtId="4" fontId="1" fillId="40" borderId="6" xfId="0" applyNumberFormat="1" applyFont="1" applyFill="1" applyBorder="1" applyAlignment="1">
      <x:alignment horizontal="right" vertical="center"/>
    </x:xf>
    <x:xf numFmtId="4" fontId="1" fillId="40" borderId="7" xfId="0" applyNumberFormat="1" applyFont="1" applyFill="1" applyBorder="1" applyAlignment="1">
      <x:alignment horizontal="right" vertical="center"/>
    </x:xf>
    <x:xf numFmtId="4" fontId="1" fillId="40" borderId="8" xfId="0" applyNumberFormat="1" applyFont="1" applyFill="1" applyBorder="1" applyAlignment="1">
      <x:alignment horizontal="right" vertical="center"/>
    </x:xf>
    <x:xf numFmtId="4" fontId="26" fillId="40" borderId="6" xfId="0" applyNumberFormat="1" applyFont="1" applyFill="1" applyBorder="1" applyAlignment="1">
      <x:alignment horizontal="right" vertical="center"/>
    </x:xf>
    <x:xf numFmtId="4" fontId="26" fillId="40" borderId="7" xfId="0" applyNumberFormat="1" applyFont="1" applyFill="1" applyBorder="1" applyAlignment="1">
      <x:alignment horizontal="right" vertical="center"/>
    </x:xf>
    <x:xf numFmtId="4" fontId="26" fillId="40" borderId="8" xfId="0" applyNumberFormat="1" applyFont="1" applyFill="1" applyBorder="1" applyAlignment="1">
      <x:alignment horizontal="right" vertical="center"/>
    </x:xf>
  </x:cellXfs>
  <x:cellStyles count="49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d18ad9c0eec4bdd" /><Relationship Type="http://schemas.openxmlformats.org/officeDocument/2006/relationships/theme" Target="/xl/theme/theme1.xml" Id="Rede82b09b58c452f" /><Relationship Type="http://schemas.openxmlformats.org/officeDocument/2006/relationships/sharedStrings" Target="/xl/sharedStrings.xml" Id="R336d1e0410844435" /><Relationship Type="http://schemas.openxmlformats.org/officeDocument/2006/relationships/worksheet" Target="/xl/worksheets/sheet1.xml" Id="Rb2db6aa7fb0c4c2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9E5036"/>
  </x:sheetPr>
  <x:sheetViews>
    <x:sheetView showGridLines="0" workbookViewId="0">
      <x:pane xSplit="1" ySplit="4" topLeftCell="B5" activePane="bottomRight" state="frozen"/>
    </x:sheetView>
  </x:sheetViews>
  <x:sheetFormatPr defaultColWidth="9" defaultRowHeight="22"/>
  <x:cols>
    <x:col min="1" max="1" width="38" customWidth="1"/>
    <x:col min="2" max="26" width="18" customWidth="1"/>
  </x:cols>
  <x:sheetData>
    <x:row r="1" ht="8" customHeight="1"/>
    <x:row r="2" ht="18" customHeight="1">
      <x:c r="A2" s="1" t="s">
        <x:v>0</x:v>
      </x:c>
      <x:c r="B2" s="2" t="s">
        <x:v>1</x:v>
      </x:c>
      <x:c r="C2" s="3"/>
      <x:c r="D2" s="3"/>
      <x:c r="E2" s="3"/>
      <x:c r="F2" s="4"/>
      <x:c r="G2" s="2" t="s">
        <x:v>2</x:v>
      </x:c>
      <x:c r="H2" s="3"/>
      <x:c r="I2" s="3"/>
      <x:c r="J2" s="3"/>
      <x:c r="K2" s="4"/>
      <x:c r="L2" s="2" t="s">
        <x:v>3</x:v>
      </x:c>
      <x:c r="M2" s="3"/>
      <x:c r="N2" s="3"/>
      <x:c r="O2" s="3"/>
      <x:c r="P2" s="4"/>
      <x:c r="Q2" s="2" t="s">
        <x:v>4</x:v>
      </x:c>
      <x:c r="R2" s="3"/>
      <x:c r="S2" s="3"/>
      <x:c r="T2" s="3"/>
      <x:c r="U2" s="4"/>
      <x:c r="V2" s="2" t="s">
        <x:v>5</x:v>
      </x:c>
      <x:c r="W2" s="3"/>
      <x:c r="X2" s="3"/>
      <x:c r="Y2" s="3"/>
      <x:c r="Z2" s="4"/>
    </x:row>
    <x:row r="3" ht="25" customHeight="1">
      <x:c r="A3" s="5"/>
      <x:c r="B3" s="6" t="s">
        <x:v>6</x:v>
      </x:c>
      <x:c r="C3" s="7" t="s">
        <x:v>7</x:v>
      </x:c>
      <x:c r="D3" s="7" t="s">
        <x:v>8</x:v>
      </x:c>
      <x:c r="E3" s="7" t="s">
        <x:v>9</x:v>
      </x:c>
      <x:c r="F3" s="8" t="s">
        <x:v>10</x:v>
      </x:c>
      <x:c r="G3" s="6" t="s">
        <x:v>6</x:v>
      </x:c>
      <x:c r="H3" s="7" t="s">
        <x:v>7</x:v>
      </x:c>
      <x:c r="I3" s="7" t="s">
        <x:v>8</x:v>
      </x:c>
      <x:c r="J3" s="7" t="s">
        <x:v>9</x:v>
      </x:c>
      <x:c r="K3" s="8" t="s">
        <x:v>10</x:v>
      </x:c>
      <x:c r="L3" s="6" t="s">
        <x:v>6</x:v>
      </x:c>
      <x:c r="M3" s="7" t="s">
        <x:v>7</x:v>
      </x:c>
      <x:c r="N3" s="7" t="s">
        <x:v>8</x:v>
      </x:c>
      <x:c r="O3" s="7" t="s">
        <x:v>9</x:v>
      </x:c>
      <x:c r="P3" s="8" t="s">
        <x:v>10</x:v>
      </x:c>
      <x:c r="Q3" s="6" t="s">
        <x:v>6</x:v>
      </x:c>
      <x:c r="R3" s="7" t="s">
        <x:v>7</x:v>
      </x:c>
      <x:c r="S3" s="7" t="s">
        <x:v>8</x:v>
      </x:c>
      <x:c r="T3" s="7" t="s">
        <x:v>9</x:v>
      </x:c>
      <x:c r="U3" s="8" t="s">
        <x:v>10</x:v>
      </x:c>
      <x:c r="V3" s="6" t="s">
        <x:v>6</x:v>
      </x:c>
      <x:c r="W3" s="7" t="s">
        <x:v>7</x:v>
      </x:c>
      <x:c r="X3" s="7" t="s">
        <x:v>8</x:v>
      </x:c>
      <x:c r="Y3" s="7" t="s">
        <x:v>9</x:v>
      </x:c>
      <x:c r="Z3" s="8" t="s">
        <x:v>10</x:v>
      </x:c>
    </x:row>
    <x:row r="4" ht="25" customHeight="1">
      <x:c r="A4" s="9"/>
      <x:c r="B4" s="6" t="s">
        <x:v>11</x:v>
      </x:c>
      <x:c r="C4" s="7" t="s">
        <x:v>11</x:v>
      </x:c>
      <x:c r="D4" s="7" t="s">
        <x:v>11</x:v>
      </x:c>
      <x:c r="E4" s="7" t="s">
        <x:v>11</x:v>
      </x:c>
      <x:c r="F4" s="8" t="s">
        <x:v>11</x:v>
      </x:c>
      <x:c r="G4" s="6" t="s">
        <x:v>11</x:v>
      </x:c>
      <x:c r="H4" s="7" t="s">
        <x:v>11</x:v>
      </x:c>
      <x:c r="I4" s="7" t="s">
        <x:v>11</x:v>
      </x:c>
      <x:c r="J4" s="7" t="s">
        <x:v>11</x:v>
      </x:c>
      <x:c r="K4" s="8" t="s">
        <x:v>11</x:v>
      </x:c>
      <x:c r="L4" s="6" t="s">
        <x:v>11</x:v>
      </x:c>
      <x:c r="M4" s="7" t="s">
        <x:v>11</x:v>
      </x:c>
      <x:c r="N4" s="7" t="s">
        <x:v>11</x:v>
      </x:c>
      <x:c r="O4" s="7" t="s">
        <x:v>11</x:v>
      </x:c>
      <x:c r="P4" s="8" t="s">
        <x:v>11</x:v>
      </x:c>
      <x:c r="Q4" s="6" t="s">
        <x:v>11</x:v>
      </x:c>
      <x:c r="R4" s="7" t="s">
        <x:v>11</x:v>
      </x:c>
      <x:c r="S4" s="7" t="s">
        <x:v>11</x:v>
      </x:c>
      <x:c r="T4" s="7" t="s">
        <x:v>11</x:v>
      </x:c>
      <x:c r="U4" s="8" t="s">
        <x:v>11</x:v>
      </x:c>
      <x:c r="V4" s="6" t="s">
        <x:v>11</x:v>
      </x:c>
      <x:c r="W4" s="7" t="s">
        <x:v>11</x:v>
      </x:c>
      <x:c r="X4" s="7" t="s">
        <x:v>11</x:v>
      </x:c>
      <x:c r="Y4" s="7" t="s">
        <x:v>11</x:v>
      </x:c>
      <x:c r="Z4" s="8" t="s">
        <x:v>11</x:v>
      </x:c>
    </x:row>
    <x:row r="5" ht="22" customHeight="1">
      <x:c r="A5" s="10" t="s">
        <x:v>12</x:v>
      </x:c>
      <x:c r="B5" s="39"/>
      <x:c r="C5" s="40"/>
      <x:c r="D5" s="40"/>
      <x:c r="E5" s="40"/>
      <x:c r="F5" s="41"/>
      <x:c r="G5" s="39"/>
      <x:c r="H5" s="40"/>
      <x:c r="I5" s="40"/>
      <x:c r="J5" s="40"/>
      <x:c r="K5" s="41"/>
      <x:c r="L5" s="39"/>
      <x:c r="M5" s="40"/>
      <x:c r="N5" s="40"/>
      <x:c r="O5" s="40"/>
      <x:c r="P5" s="41"/>
      <x:c r="Q5" s="39"/>
      <x:c r="R5" s="40"/>
      <x:c r="S5" s="40"/>
      <x:c r="T5" s="40"/>
      <x:c r="U5" s="41"/>
      <x:c r="V5" s="39"/>
      <x:c r="W5" s="40"/>
      <x:c r="X5" s="40"/>
      <x:c r="Y5" s="40"/>
      <x:c r="Z5" s="41"/>
    </x:row>
    <x:row r="6" ht="22" customHeight="1">
      <x:c r="A6" s="10" t="s">
        <x:v>13</x:v>
      </x:c>
      <x:c r="B6" s="14" t="n">
        <x:f>IF(SUM($B$5:$F$5)=0,0,B5/SUM($B$5:$F$5))</x:f>
        <x:v>0</x:v>
      </x:c>
      <x:c r="C6" s="15" t="n">
        <x:f>IF(SUM($B$5:$F$5)=0,0,C5/SUM($B$5:$F$5))</x:f>
        <x:v>0</x:v>
      </x:c>
      <x:c r="D6" s="15" t="n">
        <x:f>IF(SUM($B$5:$F$5)=0,0,D5/SUM($B$5:$F$5))</x:f>
        <x:v>0</x:v>
      </x:c>
      <x:c r="E6" s="15" t="n">
        <x:f>IF(SUM($B$5:$F$5)=0,0,E5/SUM($B$5:$F$5))</x:f>
        <x:v>0</x:v>
      </x:c>
      <x:c r="F6" s="16" t="n">
        <x:f>IF(SUM($B$5:$F$5)=0,0,F5/SUM($B$5:$F$5))</x:f>
        <x:v>0</x:v>
      </x:c>
      <x:c r="G6" s="14" t="n">
        <x:f>IF(SUM($G$5:$K$5)=0,0,G5/SUM($G$5:$K$5))</x:f>
        <x:v>0</x:v>
      </x:c>
      <x:c r="H6" s="15" t="n">
        <x:f>IF(SUM($G$5:$K$5)=0,0,H5/SUM($G$5:$K$5))</x:f>
        <x:v>0</x:v>
      </x:c>
      <x:c r="I6" s="15" t="n">
        <x:f>IF(SUM($G$5:$K$5)=0,0,I5/SUM($G$5:$K$5))</x:f>
        <x:v>0</x:v>
      </x:c>
      <x:c r="J6" s="15" t="n">
        <x:f>IF(SUM($G$5:$K$5)=0,0,J5/SUM($G$5:$K$5))</x:f>
        <x:v>0</x:v>
      </x:c>
      <x:c r="K6" s="16" t="n">
        <x:f>IF(SUM($G$5:$K$5)=0,0,K5/SUM($G$5:$K$5))</x:f>
        <x:v>0</x:v>
      </x:c>
      <x:c r="L6" s="14" t="n">
        <x:f>IF(SUM($L$5:$P$5)=0,0,L5/SUM($L$5:$P$5))</x:f>
        <x:v>0</x:v>
      </x:c>
      <x:c r="M6" s="15" t="n">
        <x:f>IF(SUM($L$5:$P$5)=0,0,M5/SUM($L$5:$P$5))</x:f>
        <x:v>0</x:v>
      </x:c>
      <x:c r="N6" s="15" t="n">
        <x:f>IF(SUM($L$5:$P$5)=0,0,N5/SUM($L$5:$P$5))</x:f>
        <x:v>0</x:v>
      </x:c>
      <x:c r="O6" s="15" t="n">
        <x:f>IF(SUM($L$5:$P$5)=0,0,O5/SUM($L$5:$P$5))</x:f>
        <x:v>0</x:v>
      </x:c>
      <x:c r="P6" s="16" t="n">
        <x:f>IF(SUM($L$5:$P$5)=0,0,P5/SUM($L$5:$P$5))</x:f>
        <x:v>0</x:v>
      </x:c>
      <x:c r="Q6" s="14" t="n">
        <x:f>IF(SUM($Q$5:$U$5)=0,0,Q5/SUM($Q$5:$U$5))</x:f>
        <x:v>0</x:v>
      </x:c>
      <x:c r="R6" s="15" t="n">
        <x:f>IF(SUM($Q$5:$U$5)=0,0,R5/SUM($Q$5:$U$5))</x:f>
        <x:v>0</x:v>
      </x:c>
      <x:c r="S6" s="15" t="n">
        <x:f>IF(SUM($Q$5:$U$5)=0,0,S5/SUM($Q$5:$U$5))</x:f>
        <x:v>0</x:v>
      </x:c>
      <x:c r="T6" s="15" t="n">
        <x:f>IF(SUM($Q$5:$U$5)=0,0,T5/SUM($Q$5:$U$5))</x:f>
        <x:v>0</x:v>
      </x:c>
      <x:c r="U6" s="16" t="n">
        <x:f>IF(SUM($Q$5:$U$5)=0,0,U5/SUM($Q$5:$U$5))</x:f>
        <x:v>0</x:v>
      </x:c>
      <x:c r="V6" s="14" t="n">
        <x:f>IF(SUM($V$5:$Z$5)=0,0,V5/SUM($V$5:$Z$5))</x:f>
        <x:v>0</x:v>
      </x:c>
      <x:c r="W6" s="15" t="n">
        <x:f>IF(SUM($V$5:$Z$5)=0,0,W5/SUM($V$5:$Z$5))</x:f>
        <x:v>0</x:v>
      </x:c>
      <x:c r="X6" s="15" t="n">
        <x:f>IF(SUM($V$5:$Z$5)=0,0,X5/SUM($V$5:$Z$5))</x:f>
        <x:v>0</x:v>
      </x:c>
      <x:c r="Y6" s="15" t="n">
        <x:f>IF(SUM($V$5:$Z$5)=0,0,Y5/SUM($V$5:$Z$5))</x:f>
        <x:v>0</x:v>
      </x:c>
      <x:c r="Z6" s="16" t="n">
        <x:f>IF(SUM($V$5:$Z$5)=0,0,Z5/SUM($V$5:$Z$5))</x:f>
        <x:v>0</x:v>
      </x:c>
    </x:row>
    <x:row r="7" ht="22" customHeight="1">
      <x:c r="A7" s="10" t="s">
        <x:v>14</x:v>
      </x:c>
      <x:c r="B7" s="45"/>
      <x:c r="C7" s="46"/>
      <x:c r="D7" s="46"/>
      <x:c r="E7" s="46"/>
      <x:c r="F7" s="47"/>
      <x:c r="G7" s="45"/>
      <x:c r="H7" s="46"/>
      <x:c r="I7" s="46"/>
      <x:c r="J7" s="46"/>
      <x:c r="K7" s="47"/>
      <x:c r="L7" s="45"/>
      <x:c r="M7" s="46"/>
      <x:c r="N7" s="46"/>
      <x:c r="O7" s="46"/>
      <x:c r="P7" s="47"/>
      <x:c r="Q7" s="45"/>
      <x:c r="R7" s="46"/>
      <x:c r="S7" s="46"/>
      <x:c r="T7" s="46"/>
      <x:c r="U7" s="47"/>
      <x:c r="V7" s="45"/>
      <x:c r="W7" s="46"/>
      <x:c r="X7" s="46"/>
      <x:c r="Y7" s="46"/>
      <x:c r="Z7" s="47"/>
    </x:row>
    <x:row r="8" ht="22" customHeight="1">
      <x:c r="A8" s="10" t="s">
        <x:v>15</x:v>
      </x:c>
      <x:c r="B8" s="17" t="n">
        <x:f>-B7/(1+B$71)*B$71</x:f>
        <x:v>0</x:v>
      </x:c>
      <x:c r="C8" s="18" t="n">
        <x:f>-C7/(1+C$71)*C$71</x:f>
        <x:v>0</x:v>
      </x:c>
      <x:c r="D8" s="18" t="n">
        <x:f>-D7/(1+D$71)*D$71</x:f>
        <x:v>0</x:v>
      </x:c>
      <x:c r="E8" s="18" t="n">
        <x:f>-E7/(1+E$71)*E$71</x:f>
        <x:v>0</x:v>
      </x:c>
      <x:c r="F8" s="19" t="n">
        <x:f>-F7/(1+F$71)*F$71</x:f>
        <x:v>0</x:v>
      </x:c>
      <x:c r="G8" s="17" t="n">
        <x:f>-G7/(1+G$71)*G$71</x:f>
        <x:v>0</x:v>
      </x:c>
      <x:c r="H8" s="18" t="n">
        <x:f>-H7/(1+H$71)*H$71</x:f>
        <x:v>0</x:v>
      </x:c>
      <x:c r="I8" s="18" t="n">
        <x:f>-I7/(1+I$71)*I$71</x:f>
        <x:v>0</x:v>
      </x:c>
      <x:c r="J8" s="18" t="n">
        <x:f>-J7/(1+J$71)*J$71</x:f>
        <x:v>0</x:v>
      </x:c>
      <x:c r="K8" s="19" t="n">
        <x:f>-K7/(1+K$71)*K$71</x:f>
        <x:v>0</x:v>
      </x:c>
      <x:c r="L8" s="17" t="n">
        <x:f>-L7/(1+L$71)*L$71</x:f>
        <x:v>0</x:v>
      </x:c>
      <x:c r="M8" s="18" t="n">
        <x:f>-M7/(1+M$71)*M$71</x:f>
        <x:v>0</x:v>
      </x:c>
      <x:c r="N8" s="18" t="n">
        <x:f>-N7/(1+N$71)*N$71</x:f>
        <x:v>0</x:v>
      </x:c>
      <x:c r="O8" s="18" t="n">
        <x:f>-O7/(1+O$71)*O$71</x:f>
        <x:v>0</x:v>
      </x:c>
      <x:c r="P8" s="19" t="n">
        <x:f>-P7/(1+P$71)*P$71</x:f>
        <x:v>0</x:v>
      </x:c>
      <x:c r="Q8" s="17" t="n">
        <x:f>-Q7/(1+Q$71)*Q$71</x:f>
        <x:v>0</x:v>
      </x:c>
      <x:c r="R8" s="18" t="n">
        <x:f>-R7/(1+R$71)*R$71</x:f>
        <x:v>0</x:v>
      </x:c>
      <x:c r="S8" s="18" t="n">
        <x:f>-S7/(1+S$71)*S$71</x:f>
        <x:v>0</x:v>
      </x:c>
      <x:c r="T8" s="18" t="n">
        <x:f>-T7/(1+T$71)*T$71</x:f>
        <x:v>0</x:v>
      </x:c>
      <x:c r="U8" s="19" t="n">
        <x:f>-U7/(1+U$71)*U$71</x:f>
        <x:v>0</x:v>
      </x:c>
      <x:c r="V8" s="17" t="n">
        <x:f>-V7/(1+V$71)*V$71</x:f>
        <x:v>0</x:v>
      </x:c>
      <x:c r="W8" s="18" t="n">
        <x:f>-W7/(1+W$71)*W$71</x:f>
        <x:v>0</x:v>
      </x:c>
      <x:c r="X8" s="18" t="n">
        <x:f>-X7/(1+X$71)*X$71</x:f>
        <x:v>0</x:v>
      </x:c>
      <x:c r="Y8" s="18" t="n">
        <x:f>-Y7/(1+Y$71)*Y$71</x:f>
        <x:v>0</x:v>
      </x:c>
      <x:c r="Z8" s="19" t="n">
        <x:f>-Z7/(1+Z$71)*Z$71</x:f>
        <x:v>0</x:v>
      </x:c>
    </x:row>
    <x:row r="9" ht="22" customHeight="1">
      <x:c r="A9" s="20" t="s">
        <x:v>16</x:v>
      </x:c>
      <x:c r="B9" s="21" t="n">
        <x:f>SUM(B10:B14)</x:f>
        <x:v>0</x:v>
      </x:c>
      <x:c r="C9" s="22" t="n">
        <x:f>SUM(C10:C14)</x:f>
        <x:v>0</x:v>
      </x:c>
      <x:c r="D9" s="22" t="n">
        <x:f>SUM(D10:D14)</x:f>
        <x:v>0</x:v>
      </x:c>
      <x:c r="E9" s="22" t="n">
        <x:f>SUM(E10:E14)</x:f>
        <x:v>0</x:v>
      </x:c>
      <x:c r="F9" s="23" t="n">
        <x:f>SUM(F10:F14)</x:f>
        <x:v>0</x:v>
      </x:c>
      <x:c r="G9" s="21" t="n">
        <x:f>SUM(G10:G14)</x:f>
        <x:v>0</x:v>
      </x:c>
      <x:c r="H9" s="22" t="n">
        <x:f>SUM(H10:H14)</x:f>
        <x:v>0</x:v>
      </x:c>
      <x:c r="I9" s="22" t="n">
        <x:f>SUM(I10:I14)</x:f>
        <x:v>0</x:v>
      </x:c>
      <x:c r="J9" s="22" t="n">
        <x:f>SUM(J10:J14)</x:f>
        <x:v>0</x:v>
      </x:c>
      <x:c r="K9" s="23" t="n">
        <x:f>SUM(K10:K14)</x:f>
        <x:v>0</x:v>
      </x:c>
      <x:c r="L9" s="21" t="n">
        <x:f>SUM(L10:L14)</x:f>
        <x:v>0</x:v>
      </x:c>
      <x:c r="M9" s="22" t="n">
        <x:f>SUM(M10:M14)</x:f>
        <x:v>0</x:v>
      </x:c>
      <x:c r="N9" s="22" t="n">
        <x:f>SUM(N10:N14)</x:f>
        <x:v>0</x:v>
      </x:c>
      <x:c r="O9" s="22" t="n">
        <x:f>SUM(O10:O14)</x:f>
        <x:v>0</x:v>
      </x:c>
      <x:c r="P9" s="23" t="n">
        <x:f>SUM(P10:P14)</x:f>
        <x:v>0</x:v>
      </x:c>
      <x:c r="Q9" s="21" t="n">
        <x:f>SUM(Q10:Q14)</x:f>
        <x:v>0</x:v>
      </x:c>
      <x:c r="R9" s="22" t="n">
        <x:f>SUM(R10:R14)</x:f>
        <x:v>0</x:v>
      </x:c>
      <x:c r="S9" s="22" t="n">
        <x:f>SUM(S10:S14)</x:f>
        <x:v>0</x:v>
      </x:c>
      <x:c r="T9" s="22" t="n">
        <x:f>SUM(T10:T14)</x:f>
        <x:v>0</x:v>
      </x:c>
      <x:c r="U9" s="23" t="n">
        <x:f>SUM(U10:U14)</x:f>
        <x:v>0</x:v>
      </x:c>
      <x:c r="V9" s="21" t="n">
        <x:f>SUM(V10:V14)</x:f>
        <x:v>0</x:v>
      </x:c>
      <x:c r="W9" s="22" t="n">
        <x:f>SUM(W10:W14)</x:f>
        <x:v>0</x:v>
      </x:c>
      <x:c r="X9" s="22" t="n">
        <x:f>SUM(X10:X14)</x:f>
        <x:v>0</x:v>
      </x:c>
      <x:c r="Y9" s="22" t="n">
        <x:f>SUM(Y10:Y14)</x:f>
        <x:v>0</x:v>
      </x:c>
      <x:c r="Z9" s="23" t="n">
        <x:f>SUM(Z10:Z14)</x:f>
        <x:v>0</x:v>
      </x:c>
    </x:row>
    <x:row r="10" ht="22" customHeight="1">
      <x:c r="A10" s="10" t="s">
        <x:v>17</x:v>
      </x:c>
      <x:c r="B10" s="45"/>
      <x:c r="C10" s="46"/>
      <x:c r="D10" s="46"/>
      <x:c r="E10" s="46"/>
      <x:c r="F10" s="47"/>
      <x:c r="G10" s="45"/>
      <x:c r="H10" s="46"/>
      <x:c r="I10" s="46"/>
      <x:c r="J10" s="46"/>
      <x:c r="K10" s="47"/>
      <x:c r="L10" s="45"/>
      <x:c r="M10" s="46"/>
      <x:c r="N10" s="46"/>
      <x:c r="O10" s="46"/>
      <x:c r="P10" s="47"/>
      <x:c r="Q10" s="45"/>
      <x:c r="R10" s="46"/>
      <x:c r="S10" s="46"/>
      <x:c r="T10" s="46"/>
      <x:c r="U10" s="47"/>
      <x:c r="V10" s="45"/>
      <x:c r="W10" s="46"/>
      <x:c r="X10" s="46"/>
      <x:c r="Y10" s="46"/>
      <x:c r="Z10" s="47"/>
    </x:row>
    <x:row r="11" ht="22" customHeight="1">
      <x:c r="A11" s="10" t="s">
        <x:v>18</x:v>
      </x:c>
      <x:c r="B11" s="45"/>
      <x:c r="C11" s="46"/>
      <x:c r="D11" s="46"/>
      <x:c r="E11" s="46"/>
      <x:c r="F11" s="47"/>
      <x:c r="G11" s="45"/>
      <x:c r="H11" s="46"/>
      <x:c r="I11" s="46"/>
      <x:c r="J11" s="46"/>
      <x:c r="K11" s="47"/>
      <x:c r="L11" s="45"/>
      <x:c r="M11" s="46"/>
      <x:c r="N11" s="46"/>
      <x:c r="O11" s="46"/>
      <x:c r="P11" s="47"/>
      <x:c r="Q11" s="45"/>
      <x:c r="R11" s="46"/>
      <x:c r="S11" s="46"/>
      <x:c r="T11" s="46"/>
      <x:c r="U11" s="47"/>
      <x:c r="V11" s="45"/>
      <x:c r="W11" s="46"/>
      <x:c r="X11" s="46"/>
      <x:c r="Y11" s="46"/>
      <x:c r="Z11" s="47"/>
    </x:row>
    <x:row r="12" ht="22" customHeight="1">
      <x:c r="A12" s="10" t="s">
        <x:v>19</x:v>
      </x:c>
      <x:c r="B12" s="45"/>
      <x:c r="C12" s="46"/>
      <x:c r="D12" s="46"/>
      <x:c r="E12" s="46"/>
      <x:c r="F12" s="47"/>
      <x:c r="G12" s="45"/>
      <x:c r="H12" s="46"/>
      <x:c r="I12" s="46"/>
      <x:c r="J12" s="46"/>
      <x:c r="K12" s="47"/>
      <x:c r="L12" s="45"/>
      <x:c r="M12" s="46"/>
      <x:c r="N12" s="46"/>
      <x:c r="O12" s="46"/>
      <x:c r="P12" s="47"/>
      <x:c r="Q12" s="45"/>
      <x:c r="R12" s="46"/>
      <x:c r="S12" s="46"/>
      <x:c r="T12" s="46"/>
      <x:c r="U12" s="47"/>
      <x:c r="V12" s="45"/>
      <x:c r="W12" s="46"/>
      <x:c r="X12" s="46"/>
      <x:c r="Y12" s="46"/>
      <x:c r="Z12" s="47"/>
    </x:row>
    <x:row r="13" ht="22" customHeight="1">
      <x:c r="A13" s="10" t="s">
        <x:v>20</x:v>
      </x:c>
      <x:c r="B13" s="45"/>
      <x:c r="C13" s="46"/>
      <x:c r="D13" s="46"/>
      <x:c r="E13" s="46"/>
      <x:c r="F13" s="47"/>
      <x:c r="G13" s="45"/>
      <x:c r="H13" s="46"/>
      <x:c r="I13" s="46"/>
      <x:c r="J13" s="46"/>
      <x:c r="K13" s="47"/>
      <x:c r="L13" s="45"/>
      <x:c r="M13" s="46"/>
      <x:c r="N13" s="46"/>
      <x:c r="O13" s="46"/>
      <x:c r="P13" s="47"/>
      <x:c r="Q13" s="45"/>
      <x:c r="R13" s="46"/>
      <x:c r="S13" s="46"/>
      <x:c r="T13" s="46"/>
      <x:c r="U13" s="47"/>
      <x:c r="V13" s="45"/>
      <x:c r="W13" s="46"/>
      <x:c r="X13" s="46"/>
      <x:c r="Y13" s="46"/>
      <x:c r="Z13" s="47"/>
    </x:row>
    <x:row r="14" ht="22" customHeight="1">
      <x:c r="A14" s="10" t="s">
        <x:v>21</x:v>
      </x:c>
      <x:c r="B14" s="45"/>
      <x:c r="C14" s="46"/>
      <x:c r="D14" s="46"/>
      <x:c r="E14" s="46"/>
      <x:c r="F14" s="47"/>
      <x:c r="G14" s="45"/>
      <x:c r="H14" s="46"/>
      <x:c r="I14" s="46"/>
      <x:c r="J14" s="46"/>
      <x:c r="K14" s="47"/>
      <x:c r="L14" s="45"/>
      <x:c r="M14" s="46"/>
      <x:c r="N14" s="46"/>
      <x:c r="O14" s="46"/>
      <x:c r="P14" s="47"/>
      <x:c r="Q14" s="45"/>
      <x:c r="R14" s="46"/>
      <x:c r="S14" s="46"/>
      <x:c r="T14" s="46"/>
      <x:c r="U14" s="47"/>
      <x:c r="V14" s="45"/>
      <x:c r="W14" s="46"/>
      <x:c r="X14" s="46"/>
      <x:c r="Y14" s="46"/>
      <x:c r="Z14" s="47"/>
    </x:row>
    <x:row r="15" ht="24" customHeight="1">
      <x:c r="A15" s="24" t="s">
        <x:v>22</x:v>
      </x:c>
      <x:c r="B15" s="25" t="n">
        <x:f>SUM(B7:B9)</x:f>
        <x:v>0</x:v>
      </x:c>
      <x:c r="C15" s="26" t="n">
        <x:f>SUM(C7:C9)</x:f>
        <x:v>0</x:v>
      </x:c>
      <x:c r="D15" s="26" t="n">
        <x:f>SUM(D7:D9)</x:f>
        <x:v>0</x:v>
      </x:c>
      <x:c r="E15" s="26" t="n">
        <x:f>SUM(E7:E9)</x:f>
        <x:v>0</x:v>
      </x:c>
      <x:c r="F15" s="27" t="n">
        <x:f>SUM(F7:F9)</x:f>
        <x:v>0</x:v>
      </x:c>
      <x:c r="G15" s="25" t="n">
        <x:f>SUM(G7:G9)</x:f>
        <x:v>0</x:v>
      </x:c>
      <x:c r="H15" s="26" t="n">
        <x:f>SUM(H7:H9)</x:f>
        <x:v>0</x:v>
      </x:c>
      <x:c r="I15" s="26" t="n">
        <x:f>SUM(I7:I9)</x:f>
        <x:v>0</x:v>
      </x:c>
      <x:c r="J15" s="26" t="n">
        <x:f>SUM(J7:J9)</x:f>
        <x:v>0</x:v>
      </x:c>
      <x:c r="K15" s="27" t="n">
        <x:f>SUM(K7:K9)</x:f>
        <x:v>0</x:v>
      </x:c>
      <x:c r="L15" s="25" t="n">
        <x:f>SUM(L7:L9)</x:f>
        <x:v>0</x:v>
      </x:c>
      <x:c r="M15" s="26" t="n">
        <x:f>SUM(M7:M9)</x:f>
        <x:v>0</x:v>
      </x:c>
      <x:c r="N15" s="26" t="n">
        <x:f>SUM(N7:N9)</x:f>
        <x:v>0</x:v>
      </x:c>
      <x:c r="O15" s="26" t="n">
        <x:f>SUM(O7:O9)</x:f>
        <x:v>0</x:v>
      </x:c>
      <x:c r="P15" s="27" t="n">
        <x:f>SUM(P7:P9)</x:f>
        <x:v>0</x:v>
      </x:c>
      <x:c r="Q15" s="25" t="n">
        <x:f>SUM(Q7:Q9)</x:f>
        <x:v>0</x:v>
      </x:c>
      <x:c r="R15" s="26" t="n">
        <x:f>SUM(R7:R9)</x:f>
        <x:v>0</x:v>
      </x:c>
      <x:c r="S15" s="26" t="n">
        <x:f>SUM(S7:S9)</x:f>
        <x:v>0</x:v>
      </x:c>
      <x:c r="T15" s="26" t="n">
        <x:f>SUM(T7:T9)</x:f>
        <x:v>0</x:v>
      </x:c>
      <x:c r="U15" s="27" t="n">
        <x:f>SUM(U7:U9)</x:f>
        <x:v>0</x:v>
      </x:c>
      <x:c r="V15" s="25" t="n">
        <x:f>SUM(V7:V9)</x:f>
        <x:v>0</x:v>
      </x:c>
      <x:c r="W15" s="26" t="n">
        <x:f>SUM(W7:W9)</x:f>
        <x:v>0</x:v>
      </x:c>
      <x:c r="X15" s="26" t="n">
        <x:f>SUM(X7:X9)</x:f>
        <x:v>0</x:v>
      </x:c>
      <x:c r="Y15" s="26" t="n">
        <x:f>SUM(Y7:Y9)</x:f>
        <x:v>0</x:v>
      </x:c>
      <x:c r="Z15" s="27" t="n">
        <x:f>SUM(Z7:Z9)</x:f>
        <x:v>0</x:v>
      </x:c>
    </x:row>
    <x:row r="16" ht="24" customHeight="1">
      <x:c r="A16" s="24" t="s">
        <x:v>23</x:v>
      </x:c>
      <x:c r="B16" s="25" t="n">
        <x:f>SUM(B17,B20,B24,B36,B41:B42,B47)</x:f>
        <x:v>0</x:v>
      </x:c>
      <x:c r="C16" s="26" t="n">
        <x:f>SUM(C17,C20,C24,C36,C41:C42,C47)</x:f>
        <x:v>0</x:v>
      </x:c>
      <x:c r="D16" s="26" t="n">
        <x:f>SUM(D17,D20,D24,D36,D41:D42,D47)</x:f>
        <x:v>0</x:v>
      </x:c>
      <x:c r="E16" s="26" t="n">
        <x:f>SUM(E17,E20,E24,E36,E41:E42,E47)</x:f>
        <x:v>0</x:v>
      </x:c>
      <x:c r="F16" s="27" t="n">
        <x:f>SUM(F17,F20,F24,F36,F41:F42,F47)</x:f>
        <x:v>0</x:v>
      </x:c>
      <x:c r="G16" s="25" t="n">
        <x:f>SUM(G17,G20,G24,G36,G41:G42,G47)</x:f>
        <x:v>0</x:v>
      </x:c>
      <x:c r="H16" s="26" t="n">
        <x:f>SUM(H17,H20,H24,H36,H41:H42,H47)</x:f>
        <x:v>0</x:v>
      </x:c>
      <x:c r="I16" s="26" t="n">
        <x:f>SUM(I17,I20,I24,I36,I41:I42,I47)</x:f>
        <x:v>0</x:v>
      </x:c>
      <x:c r="J16" s="26" t="n">
        <x:f>SUM(J17,J20,J24,J36,J41:J42,J47)</x:f>
        <x:v>0</x:v>
      </x:c>
      <x:c r="K16" s="27" t="n">
        <x:f>SUM(K17,K20,K24,K36,K41:K42,K47)</x:f>
        <x:v>0</x:v>
      </x:c>
      <x:c r="L16" s="25" t="n">
        <x:f>SUM(L17,L20,L24,L36,L41:L42,L47)</x:f>
        <x:v>0</x:v>
      </x:c>
      <x:c r="M16" s="26" t="n">
        <x:f>SUM(M17,M20,M24,M36,M41:M42,M47)</x:f>
        <x:v>0</x:v>
      </x:c>
      <x:c r="N16" s="26" t="n">
        <x:f>SUM(N17,N20,N24,N36,N41:N42,N47)</x:f>
        <x:v>0</x:v>
      </x:c>
      <x:c r="O16" s="26" t="n">
        <x:f>SUM(O17,O20,O24,O36,O41:O42,O47)</x:f>
        <x:v>0</x:v>
      </x:c>
      <x:c r="P16" s="27" t="n">
        <x:f>SUM(P17,P20,P24,P36,P41:P42,P47)</x:f>
        <x:v>0</x:v>
      </x:c>
      <x:c r="Q16" s="25" t="n">
        <x:f>SUM(Q17,Q20,Q24,Q36,Q41:Q42,Q47)</x:f>
        <x:v>0</x:v>
      </x:c>
      <x:c r="R16" s="26" t="n">
        <x:f>SUM(R17,R20,R24,R36,R41:R42,R47)</x:f>
        <x:v>0</x:v>
      </x:c>
      <x:c r="S16" s="26" t="n">
        <x:f>SUM(S17,S20,S24,S36,S41:S42,S47)</x:f>
        <x:v>0</x:v>
      </x:c>
      <x:c r="T16" s="26" t="n">
        <x:f>SUM(T17,T20,T24,T36,T41:T42,T47)</x:f>
        <x:v>0</x:v>
      </x:c>
      <x:c r="U16" s="27" t="n">
        <x:f>SUM(U17,U20,U24,U36,U41:U42,U47)</x:f>
        <x:v>0</x:v>
      </x:c>
      <x:c r="V16" s="25" t="n">
        <x:f>SUM(V17,V20,V24,V36,V41:V42,V47)</x:f>
        <x:v>0</x:v>
      </x:c>
      <x:c r="W16" s="26" t="n">
        <x:f>SUM(W17,W20,W24,W36,W41:W42,W47)</x:f>
        <x:v>0</x:v>
      </x:c>
      <x:c r="X16" s="26" t="n">
        <x:f>SUM(X17,X20,X24,X36,X41:X42,X47)</x:f>
        <x:v>0</x:v>
      </x:c>
      <x:c r="Y16" s="26" t="n">
        <x:f>SUM(Y17,Y20,Y24,Y36,Y41:Y42,Y47)</x:f>
        <x:v>0</x:v>
      </x:c>
      <x:c r="Z16" s="27" t="n">
        <x:f>SUM(Z17,Z20,Z24,Z36,Z41:Z42,Z47)</x:f>
        <x:v>0</x:v>
      </x:c>
    </x:row>
    <x:row r="17" ht="22" customHeight="1">
      <x:c r="A17" s="20" t="s">
        <x:v>24</x:v>
      </x:c>
      <x:c r="B17" s="226"/>
      <x:c r="C17" s="227"/>
      <x:c r="D17" s="227"/>
      <x:c r="E17" s="227"/>
      <x:c r="F17" s="228"/>
      <x:c r="G17" s="226"/>
      <x:c r="H17" s="227"/>
      <x:c r="I17" s="227"/>
      <x:c r="J17" s="227"/>
      <x:c r="K17" s="228"/>
      <x:c r="L17" s="226"/>
      <x:c r="M17" s="227"/>
      <x:c r="N17" s="227"/>
      <x:c r="O17" s="227"/>
      <x:c r="P17" s="228"/>
      <x:c r="Q17" s="226"/>
      <x:c r="R17" s="227"/>
      <x:c r="S17" s="227"/>
      <x:c r="T17" s="227"/>
      <x:c r="U17" s="228"/>
      <x:c r="V17" s="226"/>
      <x:c r="W17" s="227"/>
      <x:c r="X17" s="227"/>
      <x:c r="Y17" s="227"/>
      <x:c r="Z17" s="228"/>
    </x:row>
    <x:row r="18" ht="22" customHeight="1">
      <x:c r="A18" s="10" t="s">
        <x:v>25</x:v>
      </x:c>
      <x:c r="B18" s="45"/>
      <x:c r="C18" s="46"/>
      <x:c r="D18" s="46"/>
      <x:c r="E18" s="46"/>
      <x:c r="F18" s="47"/>
      <x:c r="G18" s="45"/>
      <x:c r="H18" s="46"/>
      <x:c r="I18" s="46"/>
      <x:c r="J18" s="46"/>
      <x:c r="K18" s="47"/>
      <x:c r="L18" s="45"/>
      <x:c r="M18" s="46"/>
      <x:c r="N18" s="46"/>
      <x:c r="O18" s="46"/>
      <x:c r="P18" s="47"/>
      <x:c r="Q18" s="45"/>
      <x:c r="R18" s="46"/>
      <x:c r="S18" s="46"/>
      <x:c r="T18" s="46"/>
      <x:c r="U18" s="47"/>
      <x:c r="V18" s="45"/>
      <x:c r="W18" s="46"/>
      <x:c r="X18" s="46"/>
      <x:c r="Y18" s="46"/>
      <x:c r="Z18" s="47"/>
    </x:row>
    <x:row r="19" ht="22" customHeight="1">
      <x:c r="A19" s="10" t="s">
        <x:v>26</x:v>
      </x:c>
      <x:c r="B19" s="45"/>
      <x:c r="C19" s="46"/>
      <x:c r="D19" s="46"/>
      <x:c r="E19" s="46"/>
      <x:c r="F19" s="47"/>
      <x:c r="G19" s="45"/>
      <x:c r="H19" s="46"/>
      <x:c r="I19" s="46"/>
      <x:c r="J19" s="46"/>
      <x:c r="K19" s="47"/>
      <x:c r="L19" s="45"/>
      <x:c r="M19" s="46"/>
      <x:c r="N19" s="46"/>
      <x:c r="O19" s="46"/>
      <x:c r="P19" s="47"/>
      <x:c r="Q19" s="45"/>
      <x:c r="R19" s="46"/>
      <x:c r="S19" s="46"/>
      <x:c r="T19" s="46"/>
      <x:c r="U19" s="47"/>
      <x:c r="V19" s="45"/>
      <x:c r="W19" s="46"/>
      <x:c r="X19" s="46"/>
      <x:c r="Y19" s="46"/>
      <x:c r="Z19" s="47"/>
    </x:row>
    <x:row r="20" ht="22" customHeight="1">
      <x:c r="A20" s="81" t="str">
        <x:v>税金</x:v>
      </x:c>
      <x:c r="B20" s="86" t="n">
        <x:f>SUM(B21:B23)</x:f>
        <x:v>0</x:v>
      </x:c>
      <x:c r="C20" s="91" t="n">
        <x:f>SUM(C21:C23)</x:f>
        <x:v>0</x:v>
      </x:c>
      <x:c r="D20" s="91" t="n">
        <x:f>SUM(D21:D23)</x:f>
        <x:v>0</x:v>
      </x:c>
      <x:c r="E20" s="91" t="n">
        <x:f>SUM(E21:E23)</x:f>
        <x:v>0</x:v>
      </x:c>
      <x:c r="F20" s="96" t="n">
        <x:f>SUM(F21:F23)</x:f>
        <x:v>0</x:v>
      </x:c>
      <x:c r="G20" s="86" t="n">
        <x:f>SUM(G21:G23)</x:f>
        <x:v>0</x:v>
      </x:c>
      <x:c r="H20" s="91" t="n">
        <x:f>SUM(H21:H23)</x:f>
        <x:v>0</x:v>
      </x:c>
      <x:c r="I20" s="91" t="n">
        <x:f>SUM(I21:I23)</x:f>
        <x:v>0</x:v>
      </x:c>
      <x:c r="J20" s="91" t="n">
        <x:f>SUM(J21:J23)</x:f>
        <x:v>0</x:v>
      </x:c>
      <x:c r="K20" s="96" t="n">
        <x:f>SUM(K21:K23)</x:f>
        <x:v>0</x:v>
      </x:c>
      <x:c r="L20" s="86" t="n">
        <x:f>SUM(L21:L23)</x:f>
        <x:v>0</x:v>
      </x:c>
      <x:c r="M20" s="91" t="n">
        <x:f>SUM(M21:M23)</x:f>
        <x:v>0</x:v>
      </x:c>
      <x:c r="N20" s="91" t="n">
        <x:f>SUM(N21:N23)</x:f>
        <x:v>0</x:v>
      </x:c>
      <x:c r="O20" s="91" t="n">
        <x:f>SUM(O21:O23)</x:f>
        <x:v>0</x:v>
      </x:c>
      <x:c r="P20" s="96" t="n">
        <x:f>SUM(P21:P23)</x:f>
        <x:v>0</x:v>
      </x:c>
      <x:c r="Q20" s="86" t="n">
        <x:f>SUM(Q21:Q23)</x:f>
        <x:v>0</x:v>
      </x:c>
      <x:c r="R20" s="91" t="n">
        <x:f>SUM(R21:R23)</x:f>
        <x:v>0</x:v>
      </x:c>
      <x:c r="S20" s="91" t="n">
        <x:f>SUM(S21:S23)</x:f>
        <x:v>0</x:v>
      </x:c>
      <x:c r="T20" s="91" t="n">
        <x:f>SUM(T21:T23)</x:f>
        <x:v>0</x:v>
      </x:c>
      <x:c r="U20" s="96" t="n">
        <x:f>SUM(U21:U23)</x:f>
        <x:v>0</x:v>
      </x:c>
      <x:c r="V20" s="86" t="n">
        <x:f>SUM(V21:V23)</x:f>
        <x:v>0</x:v>
      </x:c>
      <x:c r="W20" s="91" t="n">
        <x:f>SUM(W21:W23)</x:f>
        <x:v>0</x:v>
      </x:c>
      <x:c r="X20" s="91" t="n">
        <x:f>SUM(X21:X23)</x:f>
        <x:v>0</x:v>
      </x:c>
      <x:c r="Y20" s="91" t="n">
        <x:f>SUM(Y21:Y23)</x:f>
        <x:v>0</x:v>
      </x:c>
      <x:c r="Z20" s="96" t="n">
        <x:f>SUM(Z21:Z23)</x:f>
        <x:v>0</x:v>
      </x:c>
    </x:row>
    <x:row r="21" ht="22" customHeight="1">
      <x:c r="A21" s="102" t="str">
        <x:v>-关税</x:v>
      </x:c>
      <x:c r="B21" s="107" t="n">
        <x:f>-B$74*B$75</x:f>
        <x:v>0</x:v>
      </x:c>
      <x:c r="C21" s="112" t="n">
        <x:f>-C$74*C$75</x:f>
        <x:v>0</x:v>
      </x:c>
      <x:c r="D21" s="112" t="n">
        <x:f>-D$74*D$75</x:f>
        <x:v>0</x:v>
      </x:c>
      <x:c r="E21" s="112" t="n">
        <x:f>-E$74*E$75</x:f>
        <x:v>0</x:v>
      </x:c>
      <x:c r="F21" s="117" t="n">
        <x:f>-F$74*F$75</x:f>
        <x:v>0</x:v>
      </x:c>
      <x:c r="G21" s="107" t="n">
        <x:f>-G$74*G$75</x:f>
        <x:v>0</x:v>
      </x:c>
      <x:c r="H21" s="112" t="n">
        <x:f>-H$74*H$75</x:f>
        <x:v>0</x:v>
      </x:c>
      <x:c r="I21" s="112" t="n">
        <x:f>-I$74*I$75</x:f>
        <x:v>0</x:v>
      </x:c>
      <x:c r="J21" s="112" t="n">
        <x:f>-J$74*J$75</x:f>
        <x:v>0</x:v>
      </x:c>
      <x:c r="K21" s="117" t="n">
        <x:f>-K$74*K$75</x:f>
        <x:v>0</x:v>
      </x:c>
      <x:c r="L21" s="107" t="n">
        <x:f>-L$74*L$75</x:f>
        <x:v>0</x:v>
      </x:c>
      <x:c r="M21" s="112" t="n">
        <x:f>-M$74*M$75</x:f>
        <x:v>0</x:v>
      </x:c>
      <x:c r="N21" s="112" t="n">
        <x:f>-N$74*N$75</x:f>
        <x:v>0</x:v>
      </x:c>
      <x:c r="O21" s="112" t="n">
        <x:f>-O$74*O$75</x:f>
        <x:v>0</x:v>
      </x:c>
      <x:c r="P21" s="117" t="n">
        <x:f>-P$74*P$75</x:f>
        <x:v>0</x:v>
      </x:c>
      <x:c r="Q21" s="107" t="n">
        <x:f>-Q$74*Q$75</x:f>
        <x:v>0</x:v>
      </x:c>
      <x:c r="R21" s="112" t="n">
        <x:f>-R$74*R$75</x:f>
        <x:v>0</x:v>
      </x:c>
      <x:c r="S21" s="112" t="n">
        <x:f>-S$74*S$75</x:f>
        <x:v>0</x:v>
      </x:c>
      <x:c r="T21" s="112" t="n">
        <x:f>-T$74*T$75</x:f>
        <x:v>0</x:v>
      </x:c>
      <x:c r="U21" s="117" t="n">
        <x:f>-U$74*U$75</x:f>
        <x:v>0</x:v>
      </x:c>
      <x:c r="V21" s="107" t="n">
        <x:f>-V$74*V$75</x:f>
        <x:v>0</x:v>
      </x:c>
      <x:c r="W21" s="112" t="n">
        <x:f>-W$74*W$75</x:f>
        <x:v>0</x:v>
      </x:c>
      <x:c r="X21" s="112" t="n">
        <x:f>-X$74*X$75</x:f>
        <x:v>0</x:v>
      </x:c>
      <x:c r="Y21" s="112" t="n">
        <x:f>-Y$74*Y$75</x:f>
        <x:v>0</x:v>
      </x:c>
      <x:c r="Z21" s="117" t="n">
        <x:f>-Z$74*Z$75</x:f>
        <x:v>0</x:v>
      </x:c>
    </x:row>
    <x:row r="22" ht="22" customHeight="1">
      <x:c r="A22" s="102" t="str">
        <x:v>-消费税</x:v>
      </x:c>
      <x:c r="B22" s="107" t="n">
        <x:f>-B15*B$72</x:f>
        <x:v>0</x:v>
      </x:c>
      <x:c r="C22" s="112" t="n">
        <x:f>-C15*C$72</x:f>
        <x:v>0</x:v>
      </x:c>
      <x:c r="D22" s="112" t="n">
        <x:f>-D15*D$72</x:f>
        <x:v>0</x:v>
      </x:c>
      <x:c r="E22" s="112" t="n">
        <x:f>-E15*E$72</x:f>
        <x:v>0</x:v>
      </x:c>
      <x:c r="F22" s="117" t="n">
        <x:f>-F15*F$72</x:f>
        <x:v>0</x:v>
      </x:c>
      <x:c r="G22" s="107" t="n">
        <x:f>-G15*G$72</x:f>
        <x:v>0</x:v>
      </x:c>
      <x:c r="H22" s="112" t="n">
        <x:f>-H15*H$72</x:f>
        <x:v>0</x:v>
      </x:c>
      <x:c r="I22" s="112" t="n">
        <x:f>-I15*I$72</x:f>
        <x:v>0</x:v>
      </x:c>
      <x:c r="J22" s="112" t="n">
        <x:f>-J15*J$72</x:f>
        <x:v>0</x:v>
      </x:c>
      <x:c r="K22" s="117" t="n">
        <x:f>-K15*K$72</x:f>
        <x:v>0</x:v>
      </x:c>
      <x:c r="L22" s="107" t="n">
        <x:f>-L15*L$72</x:f>
        <x:v>0</x:v>
      </x:c>
      <x:c r="M22" s="112" t="n">
        <x:f>-M15*M$72</x:f>
        <x:v>0</x:v>
      </x:c>
      <x:c r="N22" s="112" t="n">
        <x:f>-N15*N$72</x:f>
        <x:v>0</x:v>
      </x:c>
      <x:c r="O22" s="112" t="n">
        <x:f>-O15*O$72</x:f>
        <x:v>0</x:v>
      </x:c>
      <x:c r="P22" s="117" t="n">
        <x:f>-P15*P$72</x:f>
        <x:v>0</x:v>
      </x:c>
      <x:c r="Q22" s="107" t="n">
        <x:f>-Q15*Q$72</x:f>
        <x:v>0</x:v>
      </x:c>
      <x:c r="R22" s="112" t="n">
        <x:f>-R15*R$72</x:f>
        <x:v>0</x:v>
      </x:c>
      <x:c r="S22" s="112" t="n">
        <x:f>-S15*S$72</x:f>
        <x:v>0</x:v>
      </x:c>
      <x:c r="T22" s="112" t="n">
        <x:f>-T15*T$72</x:f>
        <x:v>0</x:v>
      </x:c>
      <x:c r="U22" s="117" t="n">
        <x:f>-U15*U$72</x:f>
        <x:v>0</x:v>
      </x:c>
      <x:c r="V22" s="107" t="n">
        <x:f>-V15*V$72</x:f>
        <x:v>0</x:v>
      </x:c>
      <x:c r="W22" s="112" t="n">
        <x:f>-W15*W$72</x:f>
        <x:v>0</x:v>
      </x:c>
      <x:c r="X22" s="112" t="n">
        <x:f>-X15*X$72</x:f>
        <x:v>0</x:v>
      </x:c>
      <x:c r="Y22" s="112" t="n">
        <x:f>-Y15*Y$72</x:f>
        <x:v>0</x:v>
      </x:c>
      <x:c r="Z22" s="117" t="n">
        <x:f>-Z15*Z$72</x:f>
        <x:v>0</x:v>
      </x:c>
    </x:row>
    <x:row r="23" ht="22" customHeight="1">
      <x:c r="A23" s="102" t="str">
        <x:v>-城建税及教育附加税</x:v>
      </x:c>
      <x:c r="B23" s="107" t="n">
        <x:f>(MIN(0,B8-B17*B$71)+B22)*B$73</x:f>
        <x:v>0</x:v>
      </x:c>
      <x:c r="C23" s="112" t="n">
        <x:f>(MIN(0,C8-C17*C$71)+C22)*C$73</x:f>
        <x:v>0</x:v>
      </x:c>
      <x:c r="D23" s="112" t="n">
        <x:f>(MIN(0,D8-D17*D$71)+D22)*D$73</x:f>
        <x:v>0</x:v>
      </x:c>
      <x:c r="E23" s="112" t="n">
        <x:f>(MIN(0,E8-E17*E$71)+E22)*E$73</x:f>
        <x:v>0</x:v>
      </x:c>
      <x:c r="F23" s="117" t="n">
        <x:f>(MIN(0,F8-F17*F$71)+F22)*F$73</x:f>
        <x:v>0</x:v>
      </x:c>
      <x:c r="G23" s="107" t="n">
        <x:f>(MIN(0,G8-G17*G$71)+G22)*G$73</x:f>
        <x:v>0</x:v>
      </x:c>
      <x:c r="H23" s="112" t="n">
        <x:f>(MIN(0,H8-H17*H$71)+H22)*H$73</x:f>
        <x:v>0</x:v>
      </x:c>
      <x:c r="I23" s="112" t="n">
        <x:f>(MIN(0,I8-I17*I$71)+I22)*I$73</x:f>
        <x:v>0</x:v>
      </x:c>
      <x:c r="J23" s="112" t="n">
        <x:f>(MIN(0,J8-J17*J$71)+J22)*J$73</x:f>
        <x:v>0</x:v>
      </x:c>
      <x:c r="K23" s="117" t="n">
        <x:f>(MIN(0,K8-K17*K$71)+K22)*K$73</x:f>
        <x:v>0</x:v>
      </x:c>
      <x:c r="L23" s="107" t="n">
        <x:f>(MIN(0,L8-L17*L$71)+L22)*L$73</x:f>
        <x:v>0</x:v>
      </x:c>
      <x:c r="M23" s="112" t="n">
        <x:f>(MIN(0,M8-M17*M$71)+M22)*M$73</x:f>
        <x:v>0</x:v>
      </x:c>
      <x:c r="N23" s="112" t="n">
        <x:f>(MIN(0,N8-N17*N$71)+N22)*N$73</x:f>
        <x:v>0</x:v>
      </x:c>
      <x:c r="O23" s="112" t="n">
        <x:f>(MIN(0,O8-O17*O$71)+O22)*O$73</x:f>
        <x:v>0</x:v>
      </x:c>
      <x:c r="P23" s="117" t="n">
        <x:f>(MIN(0,P8-P17*P$71)+P22)*P$73</x:f>
        <x:v>0</x:v>
      </x:c>
      <x:c r="Q23" s="107" t="n">
        <x:f>(MIN(0,Q8-Q17*Q$71)+Q22)*Q$73</x:f>
        <x:v>0</x:v>
      </x:c>
      <x:c r="R23" s="112" t="n">
        <x:f>(MIN(0,R8-R17*R$71)+R22)*R$73</x:f>
        <x:v>0</x:v>
      </x:c>
      <x:c r="S23" s="112" t="n">
        <x:f>(MIN(0,S8-S17*S$71)+S22)*S$73</x:f>
        <x:v>0</x:v>
      </x:c>
      <x:c r="T23" s="112" t="n">
        <x:f>(MIN(0,T8-T17*T$71)+T22)*T$73</x:f>
        <x:v>0</x:v>
      </x:c>
      <x:c r="U23" s="117" t="n">
        <x:f>(MIN(0,U8-U17*U$71)+U22)*U$73</x:f>
        <x:v>0</x:v>
      </x:c>
      <x:c r="V23" s="107" t="n">
        <x:f>(MIN(0,V8-V17*V$71)+V22)*V$73</x:f>
        <x:v>0</x:v>
      </x:c>
      <x:c r="W23" s="112" t="n">
        <x:f>(MIN(0,W8-W17*W$71)+W22)*W$73</x:f>
        <x:v>0</x:v>
      </x:c>
      <x:c r="X23" s="112" t="n">
        <x:f>(MIN(0,X8-X17*X$71)+X22)*X$73</x:f>
        <x:v>0</x:v>
      </x:c>
      <x:c r="Y23" s="112" t="n">
        <x:f>(MIN(0,Y8-Y17*Y$71)+Y22)*Y$73</x:f>
        <x:v>0</x:v>
      </x:c>
      <x:c r="Z23" s="117" t="n">
        <x:f>(MIN(0,Z8-Z17*Z$71)+Z22)*Z$73</x:f>
        <x:v>0</x:v>
      </x:c>
    </x:row>
    <x:row r="24" ht="22" customHeight="1">
      <x:c r="A24" s="81" t="str">
        <x:v>制造费用</x:v>
      </x:c>
      <x:c r="B24" s="86" t="n">
        <x:f>SUM(B25,B30)</x:f>
        <x:v>0</x:v>
      </x:c>
      <x:c r="C24" s="91" t="n">
        <x:f>SUM(C25,C30)</x:f>
        <x:v>0</x:v>
      </x:c>
      <x:c r="D24" s="91" t="n">
        <x:f>SUM(D25,D30)</x:f>
        <x:v>0</x:v>
      </x:c>
      <x:c r="E24" s="91" t="n">
        <x:f>SUM(E25,E30)</x:f>
        <x:v>0</x:v>
      </x:c>
      <x:c r="F24" s="96" t="n">
        <x:f>SUM(F25,F30)</x:f>
        <x:v>0</x:v>
      </x:c>
      <x:c r="G24" s="86" t="n">
        <x:f>SUM(G25,G30)</x:f>
        <x:v>0</x:v>
      </x:c>
      <x:c r="H24" s="91" t="n">
        <x:f>SUM(H25,H30)</x:f>
        <x:v>0</x:v>
      </x:c>
      <x:c r="I24" s="91" t="n">
        <x:f>SUM(I25,I30)</x:f>
        <x:v>0</x:v>
      </x:c>
      <x:c r="J24" s="91" t="n">
        <x:f>SUM(J25,J30)</x:f>
        <x:v>0</x:v>
      </x:c>
      <x:c r="K24" s="96" t="n">
        <x:f>SUM(K25,K30)</x:f>
        <x:v>0</x:v>
      </x:c>
      <x:c r="L24" s="86" t="n">
        <x:f>SUM(L25,L30)</x:f>
        <x:v>0</x:v>
      </x:c>
      <x:c r="M24" s="91" t="n">
        <x:f>SUM(M25,M30)</x:f>
        <x:v>0</x:v>
      </x:c>
      <x:c r="N24" s="91" t="n">
        <x:f>SUM(N25,N30)</x:f>
        <x:v>0</x:v>
      </x:c>
      <x:c r="O24" s="91" t="n">
        <x:f>SUM(O25,O30)</x:f>
        <x:v>0</x:v>
      </x:c>
      <x:c r="P24" s="96" t="n">
        <x:f>SUM(P25,P30)</x:f>
        <x:v>0</x:v>
      </x:c>
      <x:c r="Q24" s="86" t="n">
        <x:f>SUM(Q25,Q30)</x:f>
        <x:v>0</x:v>
      </x:c>
      <x:c r="R24" s="91" t="n">
        <x:f>SUM(R25,R30)</x:f>
        <x:v>0</x:v>
      </x:c>
      <x:c r="S24" s="91" t="n">
        <x:f>SUM(S25,S30)</x:f>
        <x:v>0</x:v>
      </x:c>
      <x:c r="T24" s="91" t="n">
        <x:f>SUM(T25,T30)</x:f>
        <x:v>0</x:v>
      </x:c>
      <x:c r="U24" s="96" t="n">
        <x:f>SUM(U25,U30)</x:f>
        <x:v>0</x:v>
      </x:c>
      <x:c r="V24" s="86" t="n">
        <x:f>SUM(V25,V30)</x:f>
        <x:v>0</x:v>
      </x:c>
      <x:c r="W24" s="91" t="n">
        <x:f>SUM(W25,W30)</x:f>
        <x:v>0</x:v>
      </x:c>
      <x:c r="X24" s="91" t="n">
        <x:f>SUM(X25,X30)</x:f>
        <x:v>0</x:v>
      </x:c>
      <x:c r="Y24" s="91" t="n">
        <x:f>SUM(Y25,Y30)</x:f>
        <x:v>0</x:v>
      </x:c>
      <x:c r="Z24" s="96" t="n">
        <x:f>SUM(Z25,Z30)</x:f>
        <x:v>0</x:v>
      </x:c>
    </x:row>
    <x:row r="25" ht="22" customHeight="1">
      <x:c r="A25" s="81" t="str">
        <x:v>固定费用</x:v>
      </x:c>
      <x:c r="B25" s="86" t="n">
        <x:f>SUM(B26:B29)</x:f>
        <x:v>0</x:v>
      </x:c>
      <x:c r="C25" s="91" t="n">
        <x:f>SUM(C26:C29)</x:f>
        <x:v>0</x:v>
      </x:c>
      <x:c r="D25" s="91" t="n">
        <x:f>SUM(D26:D29)</x:f>
        <x:v>0</x:v>
      </x:c>
      <x:c r="E25" s="91" t="n">
        <x:f>SUM(E26:E29)</x:f>
        <x:v>0</x:v>
      </x:c>
      <x:c r="F25" s="96" t="n">
        <x:f>SUM(F26:F29)</x:f>
        <x:v>0</x:v>
      </x:c>
      <x:c r="G25" s="86" t="n">
        <x:f>SUM(G26:G29)</x:f>
        <x:v>0</x:v>
      </x:c>
      <x:c r="H25" s="91" t="n">
        <x:f>SUM(H26:H29)</x:f>
        <x:v>0</x:v>
      </x:c>
      <x:c r="I25" s="91" t="n">
        <x:f>SUM(I26:I29)</x:f>
        <x:v>0</x:v>
      </x:c>
      <x:c r="J25" s="91" t="n">
        <x:f>SUM(J26:J29)</x:f>
        <x:v>0</x:v>
      </x:c>
      <x:c r="K25" s="96" t="n">
        <x:f>SUM(K26:K29)</x:f>
        <x:v>0</x:v>
      </x:c>
      <x:c r="L25" s="86" t="n">
        <x:f>SUM(L26:L29)</x:f>
        <x:v>0</x:v>
      </x:c>
      <x:c r="M25" s="91" t="n">
        <x:f>SUM(M26:M29)</x:f>
        <x:v>0</x:v>
      </x:c>
      <x:c r="N25" s="91" t="n">
        <x:f>SUM(N26:N29)</x:f>
        <x:v>0</x:v>
      </x:c>
      <x:c r="O25" s="91" t="n">
        <x:f>SUM(O26:O29)</x:f>
        <x:v>0</x:v>
      </x:c>
      <x:c r="P25" s="96" t="n">
        <x:f>SUM(P26:P29)</x:f>
        <x:v>0</x:v>
      </x:c>
      <x:c r="Q25" s="86" t="n">
        <x:f>SUM(Q26:Q29)</x:f>
        <x:v>0</x:v>
      </x:c>
      <x:c r="R25" s="91" t="n">
        <x:f>SUM(R26:R29)</x:f>
        <x:v>0</x:v>
      </x:c>
      <x:c r="S25" s="91" t="n">
        <x:f>SUM(S26:S29)</x:f>
        <x:v>0</x:v>
      </x:c>
      <x:c r="T25" s="91" t="n">
        <x:f>SUM(T26:T29)</x:f>
        <x:v>0</x:v>
      </x:c>
      <x:c r="U25" s="96" t="n">
        <x:f>SUM(U26:U29)</x:f>
        <x:v>0</x:v>
      </x:c>
      <x:c r="V25" s="86" t="n">
        <x:f>SUM(V26:V29)</x:f>
        <x:v>0</x:v>
      </x:c>
      <x:c r="W25" s="91" t="n">
        <x:f>SUM(W26:W29)</x:f>
        <x:v>0</x:v>
      </x:c>
      <x:c r="X25" s="91" t="n">
        <x:f>SUM(X26:X29)</x:f>
        <x:v>0</x:v>
      </x:c>
      <x:c r="Y25" s="91" t="n">
        <x:f>SUM(Y26:Y29)</x:f>
        <x:v>0</x:v>
      </x:c>
      <x:c r="Z25" s="96" t="n">
        <x:f>SUM(Z26:Z29)</x:f>
        <x:v>0</x:v>
      </x:c>
    </x:row>
    <x:row r="26" ht="22" customHeight="1">
      <x:c r="A26" s="102" t="str">
        <x:v>-人工成本-固定</x:v>
      </x:c>
      <x:c r="B26" s="124"/>
      <x:c r="C26" s="129"/>
      <x:c r="D26" s="129"/>
      <x:c r="E26" s="129"/>
      <x:c r="F26" s="134"/>
      <x:c r="G26" s="124"/>
      <x:c r="H26" s="129"/>
      <x:c r="I26" s="129"/>
      <x:c r="J26" s="129"/>
      <x:c r="K26" s="134"/>
      <x:c r="L26" s="124"/>
      <x:c r="M26" s="129"/>
      <x:c r="N26" s="129"/>
      <x:c r="O26" s="129"/>
      <x:c r="P26" s="134"/>
      <x:c r="Q26" s="124"/>
      <x:c r="R26" s="129"/>
      <x:c r="S26" s="129"/>
      <x:c r="T26" s="129"/>
      <x:c r="U26" s="134"/>
      <x:c r="V26" s="124"/>
      <x:c r="W26" s="129"/>
      <x:c r="X26" s="129"/>
      <x:c r="Y26" s="129"/>
      <x:c r="Z26" s="134"/>
    </x:row>
    <x:row r="27" ht="22" customHeight="1">
      <x:c r="A27" s="102" t="str">
        <x:v>-折旧摊销-固定</x:v>
      </x:c>
      <x:c r="B27" s="124"/>
      <x:c r="C27" s="129"/>
      <x:c r="D27" s="129"/>
      <x:c r="E27" s="129"/>
      <x:c r="F27" s="134"/>
      <x:c r="G27" s="124"/>
      <x:c r="H27" s="129"/>
      <x:c r="I27" s="129"/>
      <x:c r="J27" s="129"/>
      <x:c r="K27" s="134"/>
      <x:c r="L27" s="124"/>
      <x:c r="M27" s="129"/>
      <x:c r="N27" s="129"/>
      <x:c r="O27" s="129"/>
      <x:c r="P27" s="134"/>
      <x:c r="Q27" s="124"/>
      <x:c r="R27" s="129"/>
      <x:c r="S27" s="129"/>
      <x:c r="T27" s="129"/>
      <x:c r="U27" s="134"/>
      <x:c r="V27" s="124"/>
      <x:c r="W27" s="129"/>
      <x:c r="X27" s="129"/>
      <x:c r="Y27" s="129"/>
      <x:c r="Z27" s="134"/>
    </x:row>
    <x:row r="28" ht="22" customHeight="1">
      <x:c r="A28" s="102" t="str">
        <x:v>-行政费用</x:v>
      </x:c>
      <x:c r="B28" s="124"/>
      <x:c r="C28" s="129"/>
      <x:c r="D28" s="129"/>
      <x:c r="E28" s="129"/>
      <x:c r="F28" s="134"/>
      <x:c r="G28" s="124"/>
      <x:c r="H28" s="129"/>
      <x:c r="I28" s="129"/>
      <x:c r="J28" s="129"/>
      <x:c r="K28" s="134"/>
      <x:c r="L28" s="124"/>
      <x:c r="M28" s="129"/>
      <x:c r="N28" s="129"/>
      <x:c r="O28" s="129"/>
      <x:c r="P28" s="134"/>
      <x:c r="Q28" s="124"/>
      <x:c r="R28" s="129"/>
      <x:c r="S28" s="129"/>
      <x:c r="T28" s="129"/>
      <x:c r="U28" s="134"/>
      <x:c r="V28" s="124"/>
      <x:c r="W28" s="129"/>
      <x:c r="X28" s="129"/>
      <x:c r="Y28" s="129"/>
      <x:c r="Z28" s="134"/>
    </x:row>
    <x:row r="29" ht="22" customHeight="1">
      <x:c r="A29" s="102" t="str">
        <x:v>-其它</x:v>
      </x:c>
      <x:c r="B29" s="124"/>
      <x:c r="C29" s="129"/>
      <x:c r="D29" s="129"/>
      <x:c r="E29" s="129"/>
      <x:c r="F29" s="134"/>
      <x:c r="G29" s="124"/>
      <x:c r="H29" s="129"/>
      <x:c r="I29" s="129"/>
      <x:c r="J29" s="129"/>
      <x:c r="K29" s="134"/>
      <x:c r="L29" s="124"/>
      <x:c r="M29" s="129"/>
      <x:c r="N29" s="129"/>
      <x:c r="O29" s="129"/>
      <x:c r="P29" s="134"/>
      <x:c r="Q29" s="124"/>
      <x:c r="R29" s="129"/>
      <x:c r="S29" s="129"/>
      <x:c r="T29" s="129"/>
      <x:c r="U29" s="134"/>
      <x:c r="V29" s="124"/>
      <x:c r="W29" s="129"/>
      <x:c r="X29" s="129"/>
      <x:c r="Y29" s="129"/>
      <x:c r="Z29" s="134"/>
    </x:row>
    <x:row r="30" ht="22" customHeight="1">
      <x:c r="A30" s="81" t="str">
        <x:v>变动费用</x:v>
      </x:c>
      <x:c r="B30" s="86" t="n">
        <x:f>SUM(B31:B35)</x:f>
        <x:v>0</x:v>
      </x:c>
      <x:c r="C30" s="91" t="n">
        <x:f>SUM(C31:C35)</x:f>
        <x:v>0</x:v>
      </x:c>
      <x:c r="D30" s="91" t="n">
        <x:f>SUM(D31:D35)</x:f>
        <x:v>0</x:v>
      </x:c>
      <x:c r="E30" s="91" t="n">
        <x:f>SUM(E31:E35)</x:f>
        <x:v>0</x:v>
      </x:c>
      <x:c r="F30" s="96" t="n">
        <x:f>SUM(F31:F35)</x:f>
        <x:v>0</x:v>
      </x:c>
      <x:c r="G30" s="86" t="n">
        <x:f>SUM(G31:G35)</x:f>
        <x:v>0</x:v>
      </x:c>
      <x:c r="H30" s="91" t="n">
        <x:f>SUM(H31:H35)</x:f>
        <x:v>0</x:v>
      </x:c>
      <x:c r="I30" s="91" t="n">
        <x:f>SUM(I31:I35)</x:f>
        <x:v>0</x:v>
      </x:c>
      <x:c r="J30" s="91" t="n">
        <x:f>SUM(J31:J35)</x:f>
        <x:v>0</x:v>
      </x:c>
      <x:c r="K30" s="96" t="n">
        <x:f>SUM(K31:K35)</x:f>
        <x:v>0</x:v>
      </x:c>
      <x:c r="L30" s="86" t="n">
        <x:f>SUM(L31:L35)</x:f>
        <x:v>0</x:v>
      </x:c>
      <x:c r="M30" s="91" t="n">
        <x:f>SUM(M31:M35)</x:f>
        <x:v>0</x:v>
      </x:c>
      <x:c r="N30" s="91" t="n">
        <x:f>SUM(N31:N35)</x:f>
        <x:v>0</x:v>
      </x:c>
      <x:c r="O30" s="91" t="n">
        <x:f>SUM(O31:O35)</x:f>
        <x:v>0</x:v>
      </x:c>
      <x:c r="P30" s="96" t="n">
        <x:f>SUM(P31:P35)</x:f>
        <x:v>0</x:v>
      </x:c>
      <x:c r="Q30" s="86" t="n">
        <x:f>SUM(Q31:Q35)</x:f>
        <x:v>0</x:v>
      </x:c>
      <x:c r="R30" s="91" t="n">
        <x:f>SUM(R31:R35)</x:f>
        <x:v>0</x:v>
      </x:c>
      <x:c r="S30" s="91" t="n">
        <x:f>SUM(S31:S35)</x:f>
        <x:v>0</x:v>
      </x:c>
      <x:c r="T30" s="91" t="n">
        <x:f>SUM(T31:T35)</x:f>
        <x:v>0</x:v>
      </x:c>
      <x:c r="U30" s="96" t="n">
        <x:f>SUM(U31:U35)</x:f>
        <x:v>0</x:v>
      </x:c>
      <x:c r="V30" s="86" t="n">
        <x:f>SUM(V31:V35)</x:f>
        <x:v>0</x:v>
      </x:c>
      <x:c r="W30" s="91" t="n">
        <x:f>SUM(W31:W35)</x:f>
        <x:v>0</x:v>
      </x:c>
      <x:c r="X30" s="91" t="n">
        <x:f>SUM(X31:X35)</x:f>
        <x:v>0</x:v>
      </x:c>
      <x:c r="Y30" s="91" t="n">
        <x:f>SUM(Y31:Y35)</x:f>
        <x:v>0</x:v>
      </x:c>
      <x:c r="Z30" s="96" t="n">
        <x:f>SUM(Z31:Z35)</x:f>
        <x:v>0</x:v>
      </x:c>
    </x:row>
    <x:row r="31" ht="22" customHeight="1">
      <x:c r="A31" s="102" t="str">
        <x:v>-人工成本-加班费</x:v>
      </x:c>
      <x:c r="B31" s="124"/>
      <x:c r="C31" s="129"/>
      <x:c r="D31" s="129"/>
      <x:c r="E31" s="129"/>
      <x:c r="F31" s="134"/>
      <x:c r="G31" s="124"/>
      <x:c r="H31" s="129"/>
      <x:c r="I31" s="129"/>
      <x:c r="J31" s="129"/>
      <x:c r="K31" s="134"/>
      <x:c r="L31" s="124"/>
      <x:c r="M31" s="129"/>
      <x:c r="N31" s="129"/>
      <x:c r="O31" s="129"/>
      <x:c r="P31" s="134"/>
      <x:c r="Q31" s="124"/>
      <x:c r="R31" s="129"/>
      <x:c r="S31" s="129"/>
      <x:c r="T31" s="129"/>
      <x:c r="U31" s="134"/>
      <x:c r="V31" s="124"/>
      <x:c r="W31" s="129"/>
      <x:c r="X31" s="129"/>
      <x:c r="Y31" s="129"/>
      <x:c r="Z31" s="134"/>
    </x:row>
    <x:row r="32" ht="22" customHeight="1">
      <x:c r="A32" s="102" t="str">
        <x:v>-燃动成本</x:v>
      </x:c>
      <x:c r="B32" s="124"/>
      <x:c r="C32" s="129"/>
      <x:c r="D32" s="129"/>
      <x:c r="E32" s="129"/>
      <x:c r="F32" s="134"/>
      <x:c r="G32" s="124"/>
      <x:c r="H32" s="129"/>
      <x:c r="I32" s="129"/>
      <x:c r="J32" s="129"/>
      <x:c r="K32" s="134"/>
      <x:c r="L32" s="124"/>
      <x:c r="M32" s="129"/>
      <x:c r="N32" s="129"/>
      <x:c r="O32" s="129"/>
      <x:c r="P32" s="134"/>
      <x:c r="Q32" s="124"/>
      <x:c r="R32" s="129"/>
      <x:c r="S32" s="129"/>
      <x:c r="T32" s="129"/>
      <x:c r="U32" s="134"/>
      <x:c r="V32" s="124"/>
      <x:c r="W32" s="129"/>
      <x:c r="X32" s="129"/>
      <x:c r="Y32" s="129"/>
      <x:c r="Z32" s="134"/>
    </x:row>
    <x:row r="33" ht="22" customHeight="1">
      <x:c r="A33" s="102" t="str">
        <x:v>-折旧-模具</x:v>
      </x:c>
      <x:c r="B33" s="124"/>
      <x:c r="C33" s="129"/>
      <x:c r="D33" s="129"/>
      <x:c r="E33" s="129"/>
      <x:c r="F33" s="134"/>
      <x:c r="G33" s="124"/>
      <x:c r="H33" s="129"/>
      <x:c r="I33" s="129"/>
      <x:c r="J33" s="129"/>
      <x:c r="K33" s="134"/>
      <x:c r="L33" s="124"/>
      <x:c r="M33" s="129"/>
      <x:c r="N33" s="129"/>
      <x:c r="O33" s="129"/>
      <x:c r="P33" s="134"/>
      <x:c r="Q33" s="124"/>
      <x:c r="R33" s="129"/>
      <x:c r="S33" s="129"/>
      <x:c r="T33" s="129"/>
      <x:c r="U33" s="134"/>
      <x:c r="V33" s="124"/>
      <x:c r="W33" s="129"/>
      <x:c r="X33" s="129"/>
      <x:c r="Y33" s="129"/>
      <x:c r="Z33" s="134"/>
    </x:row>
    <x:row r="34" ht="22" customHeight="1">
      <x:c r="A34" s="102" t="str">
        <x:v>-物流inhouse</x:v>
      </x:c>
      <x:c r="B34" s="124"/>
      <x:c r="C34" s="129"/>
      <x:c r="D34" s="129"/>
      <x:c r="E34" s="129"/>
      <x:c r="F34" s="134"/>
      <x:c r="G34" s="124"/>
      <x:c r="H34" s="129"/>
      <x:c r="I34" s="129"/>
      <x:c r="J34" s="129"/>
      <x:c r="K34" s="134"/>
      <x:c r="L34" s="124"/>
      <x:c r="M34" s="129"/>
      <x:c r="N34" s="129"/>
      <x:c r="O34" s="129"/>
      <x:c r="P34" s="134"/>
      <x:c r="Q34" s="124"/>
      <x:c r="R34" s="129"/>
      <x:c r="S34" s="129"/>
      <x:c r="T34" s="129"/>
      <x:c r="U34" s="134"/>
      <x:c r="V34" s="124"/>
      <x:c r="W34" s="129"/>
      <x:c r="X34" s="129"/>
      <x:c r="Y34" s="129"/>
      <x:c r="Z34" s="134"/>
    </x:row>
    <x:row r="35" ht="22" customHeight="1">
      <x:c r="A35" s="102" t="str">
        <x:v>-其它</x:v>
      </x:c>
      <x:c r="B35" s="124"/>
      <x:c r="C35" s="129"/>
      <x:c r="D35" s="129"/>
      <x:c r="E35" s="129"/>
      <x:c r="F35" s="134"/>
      <x:c r="G35" s="124"/>
      <x:c r="H35" s="129"/>
      <x:c r="I35" s="129"/>
      <x:c r="J35" s="129"/>
      <x:c r="K35" s="134"/>
      <x:c r="L35" s="124"/>
      <x:c r="M35" s="129"/>
      <x:c r="N35" s="129"/>
      <x:c r="O35" s="129"/>
      <x:c r="P35" s="134"/>
      <x:c r="Q35" s="124"/>
      <x:c r="R35" s="129"/>
      <x:c r="S35" s="129"/>
      <x:c r="T35" s="129"/>
      <x:c r="U35" s="134"/>
      <x:c r="V35" s="124"/>
      <x:c r="W35" s="129"/>
      <x:c r="X35" s="129"/>
      <x:c r="Y35" s="129"/>
      <x:c r="Z35" s="134"/>
    </x:row>
    <x:row r="36" ht="22" customHeight="1">
      <x:c r="A36" s="81" t="str">
        <x:v>运费保险&amp;清关费</x:v>
      </x:c>
      <x:c r="B36" s="86" t="n">
        <x:f>SUM(B37:B40)</x:f>
        <x:v>0</x:v>
      </x:c>
      <x:c r="C36" s="91" t="n">
        <x:f>SUM(C37:C40)</x:f>
        <x:v>0</x:v>
      </x:c>
      <x:c r="D36" s="91" t="n">
        <x:f>SUM(D37:D40)</x:f>
        <x:v>0</x:v>
      </x:c>
      <x:c r="E36" s="91" t="n">
        <x:f>SUM(E37:E40)</x:f>
        <x:v>0</x:v>
      </x:c>
      <x:c r="F36" s="96" t="n">
        <x:f>SUM(F37:F40)</x:f>
        <x:v>0</x:v>
      </x:c>
      <x:c r="G36" s="86" t="n">
        <x:f>SUM(G37:G40)</x:f>
        <x:v>0</x:v>
      </x:c>
      <x:c r="H36" s="91" t="n">
        <x:f>SUM(H37:H40)</x:f>
        <x:v>0</x:v>
      </x:c>
      <x:c r="I36" s="91" t="n">
        <x:f>SUM(I37:I40)</x:f>
        <x:v>0</x:v>
      </x:c>
      <x:c r="J36" s="91" t="n">
        <x:f>SUM(J37:J40)</x:f>
        <x:v>0</x:v>
      </x:c>
      <x:c r="K36" s="96" t="n">
        <x:f>SUM(K37:K40)</x:f>
        <x:v>0</x:v>
      </x:c>
      <x:c r="L36" s="86" t="n">
        <x:f>SUM(L37:L40)</x:f>
        <x:v>0</x:v>
      </x:c>
      <x:c r="M36" s="91" t="n">
        <x:f>SUM(M37:M40)</x:f>
        <x:v>0</x:v>
      </x:c>
      <x:c r="N36" s="91" t="n">
        <x:f>SUM(N37:N40)</x:f>
        <x:v>0</x:v>
      </x:c>
      <x:c r="O36" s="91" t="n">
        <x:f>SUM(O37:O40)</x:f>
        <x:v>0</x:v>
      </x:c>
      <x:c r="P36" s="96" t="n">
        <x:f>SUM(P37:P40)</x:f>
        <x:v>0</x:v>
      </x:c>
      <x:c r="Q36" s="86" t="n">
        <x:f>SUM(Q37:Q40)</x:f>
        <x:v>0</x:v>
      </x:c>
      <x:c r="R36" s="91" t="n">
        <x:f>SUM(R37:R40)</x:f>
        <x:v>0</x:v>
      </x:c>
      <x:c r="S36" s="91" t="n">
        <x:f>SUM(S37:S40)</x:f>
        <x:v>0</x:v>
      </x:c>
      <x:c r="T36" s="91" t="n">
        <x:f>SUM(T37:T40)</x:f>
        <x:v>0</x:v>
      </x:c>
      <x:c r="U36" s="96" t="n">
        <x:f>SUM(U37:U40)</x:f>
        <x:v>0</x:v>
      </x:c>
      <x:c r="V36" s="86" t="n">
        <x:f>SUM(V37:V40)</x:f>
        <x:v>0</x:v>
      </x:c>
      <x:c r="W36" s="91" t="n">
        <x:f>SUM(W37:W40)</x:f>
        <x:v>0</x:v>
      </x:c>
      <x:c r="X36" s="91" t="n">
        <x:f>SUM(X37:X40)</x:f>
        <x:v>0</x:v>
      </x:c>
      <x:c r="Y36" s="91" t="n">
        <x:f>SUM(Y37:Y40)</x:f>
        <x:v>0</x:v>
      </x:c>
      <x:c r="Z36" s="96" t="n">
        <x:f>SUM(Z37:Z40)</x:f>
        <x:v>0</x:v>
      </x:c>
    </x:row>
    <x:row r="37" ht="22" customHeight="1">
      <x:c r="A37" s="102" t="str">
        <x:v>-集港运费+报关</x:v>
      </x:c>
      <x:c r="B37" s="124"/>
      <x:c r="C37" s="129"/>
      <x:c r="D37" s="129"/>
      <x:c r="E37" s="129"/>
      <x:c r="F37" s="134"/>
      <x:c r="G37" s="124"/>
      <x:c r="H37" s="129"/>
      <x:c r="I37" s="129"/>
      <x:c r="J37" s="129"/>
      <x:c r="K37" s="134"/>
      <x:c r="L37" s="124"/>
      <x:c r="M37" s="129"/>
      <x:c r="N37" s="129"/>
      <x:c r="O37" s="129"/>
      <x:c r="P37" s="134"/>
      <x:c r="Q37" s="124"/>
      <x:c r="R37" s="129"/>
      <x:c r="S37" s="129"/>
      <x:c r="T37" s="129"/>
      <x:c r="U37" s="134"/>
      <x:c r="V37" s="124"/>
      <x:c r="W37" s="129"/>
      <x:c r="X37" s="129"/>
      <x:c r="Y37" s="129"/>
      <x:c r="Z37" s="134"/>
    </x:row>
    <x:row r="38" ht="22" customHeight="1">
      <x:c r="A38" s="102" t="str">
        <x:v>-海运</x:v>
      </x:c>
      <x:c r="B38" s="124"/>
      <x:c r="C38" s="129"/>
      <x:c r="D38" s="129"/>
      <x:c r="E38" s="129"/>
      <x:c r="F38" s="134"/>
      <x:c r="G38" s="124"/>
      <x:c r="H38" s="129"/>
      <x:c r="I38" s="129"/>
      <x:c r="J38" s="129"/>
      <x:c r="K38" s="134"/>
      <x:c r="L38" s="124"/>
      <x:c r="M38" s="129"/>
      <x:c r="N38" s="129"/>
      <x:c r="O38" s="129"/>
      <x:c r="P38" s="134"/>
      <x:c r="Q38" s="124"/>
      <x:c r="R38" s="129"/>
      <x:c r="S38" s="129"/>
      <x:c r="T38" s="129"/>
      <x:c r="U38" s="134"/>
      <x:c r="V38" s="124"/>
      <x:c r="W38" s="129"/>
      <x:c r="X38" s="129"/>
      <x:c r="Y38" s="129"/>
      <x:c r="Z38" s="134"/>
    </x:row>
    <x:row r="39" ht="22" customHeight="1">
      <x:c r="A39" s="102" t="str">
        <x:v>-保险</x:v>
      </x:c>
      <x:c r="B39" s="124"/>
      <x:c r="C39" s="129"/>
      <x:c r="D39" s="129"/>
      <x:c r="E39" s="129"/>
      <x:c r="F39" s="134"/>
      <x:c r="G39" s="124"/>
      <x:c r="H39" s="129"/>
      <x:c r="I39" s="129"/>
      <x:c r="J39" s="129"/>
      <x:c r="K39" s="134"/>
      <x:c r="L39" s="124"/>
      <x:c r="M39" s="129"/>
      <x:c r="N39" s="129"/>
      <x:c r="O39" s="129"/>
      <x:c r="P39" s="134"/>
      <x:c r="Q39" s="124"/>
      <x:c r="R39" s="129"/>
      <x:c r="S39" s="129"/>
      <x:c r="T39" s="129"/>
      <x:c r="U39" s="134"/>
      <x:c r="V39" s="124"/>
      <x:c r="W39" s="129"/>
      <x:c r="X39" s="129"/>
      <x:c r="Y39" s="129"/>
      <x:c r="Z39" s="134"/>
    </x:row>
    <x:row r="40" ht="22" customHeight="1">
      <x:c r="A40" s="102" t="str">
        <x:v>-清关</x:v>
      </x:c>
      <x:c r="B40" s="124"/>
      <x:c r="C40" s="129"/>
      <x:c r="D40" s="129"/>
      <x:c r="E40" s="129"/>
      <x:c r="F40" s="134"/>
      <x:c r="G40" s="124"/>
      <x:c r="H40" s="129"/>
      <x:c r="I40" s="129"/>
      <x:c r="J40" s="129"/>
      <x:c r="K40" s="134"/>
      <x:c r="L40" s="124"/>
      <x:c r="M40" s="129"/>
      <x:c r="N40" s="129"/>
      <x:c r="O40" s="129"/>
      <x:c r="P40" s="134"/>
      <x:c r="Q40" s="124"/>
      <x:c r="R40" s="129"/>
      <x:c r="S40" s="129"/>
      <x:c r="T40" s="129"/>
      <x:c r="U40" s="134"/>
      <x:c r="V40" s="124"/>
      <x:c r="W40" s="129"/>
      <x:c r="X40" s="129"/>
      <x:c r="Y40" s="129"/>
      <x:c r="Z40" s="134"/>
    </x:row>
    <x:row r="41" ht="22" customHeight="1">
      <x:c r="A41" s="81" t="str">
        <x:v>质保金</x:v>
      </x:c>
      <x:c r="B41" s="86" t="n">
        <x:f>-B7*B$76</x:f>
        <x:v>0</x:v>
      </x:c>
      <x:c r="C41" s="91" t="n">
        <x:f>-C7*C$76</x:f>
        <x:v>0</x:v>
      </x:c>
      <x:c r="D41" s="91" t="n">
        <x:f>-D7*D$76</x:f>
        <x:v>0</x:v>
      </x:c>
      <x:c r="E41" s="91" t="n">
        <x:f>-E7*E$76</x:f>
        <x:v>0</x:v>
      </x:c>
      <x:c r="F41" s="96" t="n">
        <x:f>-F7*F$76</x:f>
        <x:v>0</x:v>
      </x:c>
      <x:c r="G41" s="86" t="n">
        <x:f>-G7*G$76</x:f>
        <x:v>0</x:v>
      </x:c>
      <x:c r="H41" s="91" t="n">
        <x:f>-H7*H$76</x:f>
        <x:v>0</x:v>
      </x:c>
      <x:c r="I41" s="91" t="n">
        <x:f>-I7*I$76</x:f>
        <x:v>0</x:v>
      </x:c>
      <x:c r="J41" s="91" t="n">
        <x:f>-J7*J$76</x:f>
        <x:v>0</x:v>
      </x:c>
      <x:c r="K41" s="96" t="n">
        <x:f>-K7*K$76</x:f>
        <x:v>0</x:v>
      </x:c>
      <x:c r="L41" s="86" t="n">
        <x:f>-L7*L$76</x:f>
        <x:v>0</x:v>
      </x:c>
      <x:c r="M41" s="91" t="n">
        <x:f>-M7*M$76</x:f>
        <x:v>0</x:v>
      </x:c>
      <x:c r="N41" s="91" t="n">
        <x:f>-N7*N$76</x:f>
        <x:v>0</x:v>
      </x:c>
      <x:c r="O41" s="91" t="n">
        <x:f>-O7*O$76</x:f>
        <x:v>0</x:v>
      </x:c>
      <x:c r="P41" s="96" t="n">
        <x:f>-P7*P$76</x:f>
        <x:v>0</x:v>
      </x:c>
      <x:c r="Q41" s="86" t="n">
        <x:f>-Q7*Q$76</x:f>
        <x:v>0</x:v>
      </x:c>
      <x:c r="R41" s="91" t="n">
        <x:f>-R7*R$76</x:f>
        <x:v>0</x:v>
      </x:c>
      <x:c r="S41" s="91" t="n">
        <x:f>-S7*S$76</x:f>
        <x:v>0</x:v>
      </x:c>
      <x:c r="T41" s="91" t="n">
        <x:f>-T7*T$76</x:f>
        <x:v>0</x:v>
      </x:c>
      <x:c r="U41" s="96" t="n">
        <x:f>-U7*U$76</x:f>
        <x:v>0</x:v>
      </x:c>
      <x:c r="V41" s="86" t="n">
        <x:f>-V7*V$76</x:f>
        <x:v>0</x:v>
      </x:c>
      <x:c r="W41" s="91" t="n">
        <x:f>-W7*W$76</x:f>
        <x:v>0</x:v>
      </x:c>
      <x:c r="X41" s="91" t="n">
        <x:f>-X7*X$76</x:f>
        <x:v>0</x:v>
      </x:c>
      <x:c r="Y41" s="91" t="n">
        <x:f>-Y7*Y$76</x:f>
        <x:v>0</x:v>
      </x:c>
      <x:c r="Z41" s="96" t="n">
        <x:f>-Z7*Z$76</x:f>
        <x:v>0</x:v>
      </x:c>
    </x:row>
    <x:row r="42" ht="22" customHeight="1">
      <x:c r="A42" s="81" t="str">
        <x:v>其他成本（智驾、流量）</x:v>
      </x:c>
      <x:c r="B42" s="86" t="n">
        <x:f>SUM(B43:B46)</x:f>
        <x:v>0</x:v>
      </x:c>
      <x:c r="C42" s="91" t="n">
        <x:f>SUM(C43:C46)</x:f>
        <x:v>0</x:v>
      </x:c>
      <x:c r="D42" s="91" t="n">
        <x:f>SUM(D43:D46)</x:f>
        <x:v>0</x:v>
      </x:c>
      <x:c r="E42" s="91" t="n">
        <x:f>SUM(E43:E46)</x:f>
        <x:v>0</x:v>
      </x:c>
      <x:c r="F42" s="96" t="n">
        <x:f>SUM(F43:F46)</x:f>
        <x:v>0</x:v>
      </x:c>
      <x:c r="G42" s="86" t="n">
        <x:f>SUM(G43:G46)</x:f>
        <x:v>0</x:v>
      </x:c>
      <x:c r="H42" s="91" t="n">
        <x:f>SUM(H43:H46)</x:f>
        <x:v>0</x:v>
      </x:c>
      <x:c r="I42" s="91" t="n">
        <x:f>SUM(I43:I46)</x:f>
        <x:v>0</x:v>
      </x:c>
      <x:c r="J42" s="91" t="n">
        <x:f>SUM(J43:J46)</x:f>
        <x:v>0</x:v>
      </x:c>
      <x:c r="K42" s="96" t="n">
        <x:f>SUM(K43:K46)</x:f>
        <x:v>0</x:v>
      </x:c>
      <x:c r="L42" s="86" t="n">
        <x:f>SUM(L43:L46)</x:f>
        <x:v>0</x:v>
      </x:c>
      <x:c r="M42" s="91" t="n">
        <x:f>SUM(M43:M46)</x:f>
        <x:v>0</x:v>
      </x:c>
      <x:c r="N42" s="91" t="n">
        <x:f>SUM(N43:N46)</x:f>
        <x:v>0</x:v>
      </x:c>
      <x:c r="O42" s="91" t="n">
        <x:f>SUM(O43:O46)</x:f>
        <x:v>0</x:v>
      </x:c>
      <x:c r="P42" s="96" t="n">
        <x:f>SUM(P43:P46)</x:f>
        <x:v>0</x:v>
      </x:c>
      <x:c r="Q42" s="86" t="n">
        <x:f>SUM(Q43:Q46)</x:f>
        <x:v>0</x:v>
      </x:c>
      <x:c r="R42" s="91" t="n">
        <x:f>SUM(R43:R46)</x:f>
        <x:v>0</x:v>
      </x:c>
      <x:c r="S42" s="91" t="n">
        <x:f>SUM(S43:S46)</x:f>
        <x:v>0</x:v>
      </x:c>
      <x:c r="T42" s="91" t="n">
        <x:f>SUM(T43:T46)</x:f>
        <x:v>0</x:v>
      </x:c>
      <x:c r="U42" s="96" t="n">
        <x:f>SUM(U43:U46)</x:f>
        <x:v>0</x:v>
      </x:c>
      <x:c r="V42" s="86" t="n">
        <x:f>SUM(V43:V46)</x:f>
        <x:v>0</x:v>
      </x:c>
      <x:c r="W42" s="91" t="n">
        <x:f>SUM(W43:W46)</x:f>
        <x:v>0</x:v>
      </x:c>
      <x:c r="X42" s="91" t="n">
        <x:f>SUM(X43:X46)</x:f>
        <x:v>0</x:v>
      </x:c>
      <x:c r="Y42" s="91" t="n">
        <x:f>SUM(Y43:Y46)</x:f>
        <x:v>0</x:v>
      </x:c>
      <x:c r="Z42" s="96" t="n">
        <x:f>SUM(Z43:Z46)</x:f>
        <x:v>0</x:v>
      </x:c>
    </x:row>
    <x:row r="43" ht="22" customHeight="1">
      <x:c r="A43" s="102" t="str">
        <x:v>-地图服务</x:v>
      </x:c>
      <x:c r="B43" s="124"/>
      <x:c r="C43" s="129"/>
      <x:c r="D43" s="129"/>
      <x:c r="E43" s="129"/>
      <x:c r="F43" s="134"/>
      <x:c r="G43" s="124"/>
      <x:c r="H43" s="129"/>
      <x:c r="I43" s="129"/>
      <x:c r="J43" s="129"/>
      <x:c r="K43" s="134"/>
      <x:c r="L43" s="124"/>
      <x:c r="M43" s="129"/>
      <x:c r="N43" s="129"/>
      <x:c r="O43" s="129"/>
      <x:c r="P43" s="134"/>
      <x:c r="Q43" s="124"/>
      <x:c r="R43" s="129"/>
      <x:c r="S43" s="129"/>
      <x:c r="T43" s="129"/>
      <x:c r="U43" s="134"/>
      <x:c r="V43" s="124"/>
      <x:c r="W43" s="129"/>
      <x:c r="X43" s="129"/>
      <x:c r="Y43" s="129"/>
      <x:c r="Z43" s="134"/>
    </x:row>
    <x:row r="44" ht="22" customHeight="1">
      <x:c r="A44" s="102" t="str">
        <x:v>-定位服务软件</x:v>
      </x:c>
      <x:c r="B44" s="124"/>
      <x:c r="C44" s="129"/>
      <x:c r="D44" s="129"/>
      <x:c r="E44" s="129"/>
      <x:c r="F44" s="134"/>
      <x:c r="G44" s="124"/>
      <x:c r="H44" s="129"/>
      <x:c r="I44" s="129"/>
      <x:c r="J44" s="129"/>
      <x:c r="K44" s="134"/>
      <x:c r="L44" s="124"/>
      <x:c r="M44" s="129"/>
      <x:c r="N44" s="129"/>
      <x:c r="O44" s="129"/>
      <x:c r="P44" s="134"/>
      <x:c r="Q44" s="124"/>
      <x:c r="R44" s="129"/>
      <x:c r="S44" s="129"/>
      <x:c r="T44" s="129"/>
      <x:c r="U44" s="134"/>
      <x:c r="V44" s="124"/>
      <x:c r="W44" s="129"/>
      <x:c r="X44" s="129"/>
      <x:c r="Y44" s="129"/>
      <x:c r="Z44" s="134"/>
    </x:row>
    <x:row r="45" ht="22" customHeight="1">
      <x:c r="A45" s="102" t="str">
        <x:v>-E-call</x:v>
      </x:c>
      <x:c r="B45" s="124"/>
      <x:c r="C45" s="129"/>
      <x:c r="D45" s="129"/>
      <x:c r="E45" s="129"/>
      <x:c r="F45" s="134"/>
      <x:c r="G45" s="124"/>
      <x:c r="H45" s="129"/>
      <x:c r="I45" s="129"/>
      <x:c r="J45" s="129"/>
      <x:c r="K45" s="134"/>
      <x:c r="L45" s="124"/>
      <x:c r="M45" s="129"/>
      <x:c r="N45" s="129"/>
      <x:c r="O45" s="129"/>
      <x:c r="P45" s="134"/>
      <x:c r="Q45" s="124"/>
      <x:c r="R45" s="129"/>
      <x:c r="S45" s="129"/>
      <x:c r="T45" s="129"/>
      <x:c r="U45" s="134"/>
      <x:c r="V45" s="124"/>
      <x:c r="W45" s="129"/>
      <x:c r="X45" s="129"/>
      <x:c r="Y45" s="129"/>
      <x:c r="Z45" s="134"/>
    </x:row>
    <x:row r="46" ht="22" customHeight="1">
      <x:c r="A46" s="102" t="str">
        <x:v>-车流量</x:v>
      </x:c>
      <x:c r="B46" s="124"/>
      <x:c r="C46" s="129"/>
      <x:c r="D46" s="129"/>
      <x:c r="E46" s="129"/>
      <x:c r="F46" s="134"/>
      <x:c r="G46" s="124"/>
      <x:c r="H46" s="129"/>
      <x:c r="I46" s="129"/>
      <x:c r="J46" s="129"/>
      <x:c r="K46" s="134"/>
      <x:c r="L46" s="124"/>
      <x:c r="M46" s="129"/>
      <x:c r="N46" s="129"/>
      <x:c r="O46" s="129"/>
      <x:c r="P46" s="134"/>
      <x:c r="Q46" s="124"/>
      <x:c r="R46" s="129"/>
      <x:c r="S46" s="129"/>
      <x:c r="T46" s="129"/>
      <x:c r="U46" s="134"/>
      <x:c r="V46" s="124"/>
      <x:c r="W46" s="129"/>
      <x:c r="X46" s="129"/>
      <x:c r="Y46" s="129"/>
      <x:c r="Z46" s="134"/>
    </x:row>
    <x:row r="47" ht="22" customHeight="1">
      <x:c r="A47" s="102" t="str">
        <x:v>其他成本调整（原表预留）</x:v>
      </x:c>
      <x:c r="B47" s="124"/>
      <x:c r="C47" s="129"/>
      <x:c r="D47" s="129"/>
      <x:c r="E47" s="129"/>
      <x:c r="F47" s="134"/>
      <x:c r="G47" s="124"/>
      <x:c r="H47" s="129"/>
      <x:c r="I47" s="129"/>
      <x:c r="J47" s="129"/>
      <x:c r="K47" s="134"/>
      <x:c r="L47" s="124"/>
      <x:c r="M47" s="129"/>
      <x:c r="N47" s="129"/>
      <x:c r="O47" s="129"/>
      <x:c r="P47" s="134"/>
      <x:c r="Q47" s="124"/>
      <x:c r="R47" s="129"/>
      <x:c r="S47" s="129"/>
      <x:c r="T47" s="129"/>
      <x:c r="U47" s="134"/>
      <x:c r="V47" s="124"/>
      <x:c r="W47" s="129"/>
      <x:c r="X47" s="129"/>
      <x:c r="Y47" s="129"/>
      <x:c r="Z47" s="134"/>
    </x:row>
    <x:row r="48" ht="24" customHeight="1">
      <x:c r="A48" s="141" t="str">
        <x:v>毛利</x:v>
      </x:c>
      <x:c r="B48" s="146" t="n">
        <x:f>SUM(B15:B16)</x:f>
        <x:v>0</x:v>
      </x:c>
      <x:c r="C48" s="151" t="n">
        <x:f>SUM(C15:C16)</x:f>
        <x:v>0</x:v>
      </x:c>
      <x:c r="D48" s="151" t="n">
        <x:f>SUM(D15:D16)</x:f>
        <x:v>0</x:v>
      </x:c>
      <x:c r="E48" s="151" t="n">
        <x:f>SUM(E15:E16)</x:f>
        <x:v>0</x:v>
      </x:c>
      <x:c r="F48" s="156" t="n">
        <x:f>SUM(F15:F16)</x:f>
        <x:v>0</x:v>
      </x:c>
      <x:c r="G48" s="146" t="n">
        <x:f>SUM(G15:G16)</x:f>
        <x:v>0</x:v>
      </x:c>
      <x:c r="H48" s="151" t="n">
        <x:f>SUM(H15:H16)</x:f>
        <x:v>0</x:v>
      </x:c>
      <x:c r="I48" s="151" t="n">
        <x:f>SUM(I15:I16)</x:f>
        <x:v>0</x:v>
      </x:c>
      <x:c r="J48" s="151" t="n">
        <x:f>SUM(J15:J16)</x:f>
        <x:v>0</x:v>
      </x:c>
      <x:c r="K48" s="156" t="n">
        <x:f>SUM(K15:K16)</x:f>
        <x:v>0</x:v>
      </x:c>
      <x:c r="L48" s="146" t="n">
        <x:f>SUM(L15:L16)</x:f>
        <x:v>0</x:v>
      </x:c>
      <x:c r="M48" s="151" t="n">
        <x:f>SUM(M15:M16)</x:f>
        <x:v>0</x:v>
      </x:c>
      <x:c r="N48" s="151" t="n">
        <x:f>SUM(N15:N16)</x:f>
        <x:v>0</x:v>
      </x:c>
      <x:c r="O48" s="151" t="n">
        <x:f>SUM(O15:O16)</x:f>
        <x:v>0</x:v>
      </x:c>
      <x:c r="P48" s="156" t="n">
        <x:f>SUM(P15:P16)</x:f>
        <x:v>0</x:v>
      </x:c>
      <x:c r="Q48" s="146" t="n">
        <x:f>SUM(Q15:Q16)</x:f>
        <x:v>0</x:v>
      </x:c>
      <x:c r="R48" s="151" t="n">
        <x:f>SUM(R15:R16)</x:f>
        <x:v>0</x:v>
      </x:c>
      <x:c r="S48" s="151" t="n">
        <x:f>SUM(S15:S16)</x:f>
        <x:v>0</x:v>
      </x:c>
      <x:c r="T48" s="151" t="n">
        <x:f>SUM(T15:T16)</x:f>
        <x:v>0</x:v>
      </x:c>
      <x:c r="U48" s="156" t="n">
        <x:f>SUM(U15:U16)</x:f>
        <x:v>0</x:v>
      </x:c>
      <x:c r="V48" s="146" t="n">
        <x:f>SUM(V15:V16)</x:f>
        <x:v>0</x:v>
      </x:c>
      <x:c r="W48" s="151" t="n">
        <x:f>SUM(W15:W16)</x:f>
        <x:v>0</x:v>
      </x:c>
      <x:c r="X48" s="151" t="n">
        <x:f>SUM(X15:X16)</x:f>
        <x:v>0</x:v>
      </x:c>
      <x:c r="Y48" s="151" t="n">
        <x:f>SUM(Y15:Y16)</x:f>
        <x:v>0</x:v>
      </x:c>
      <x:c r="Z48" s="156" t="n">
        <x:f>SUM(Z15:Z16)</x:f>
        <x:v>0</x:v>
      </x:c>
    </x:row>
    <x:row r="49" ht="24" customHeight="1">
      <x:c r="A49" s="141" t="str">
        <x:v>费用总额</x:v>
      </x:c>
      <x:c r="B49" s="146" t="n">
        <x:f>SUM(B50,B54,B65:B66)</x:f>
        <x:v>0</x:v>
      </x:c>
      <x:c r="C49" s="151" t="n">
        <x:f>SUM(C50,C54,C65:C66)</x:f>
        <x:v>0</x:v>
      </x:c>
      <x:c r="D49" s="151" t="n">
        <x:f>SUM(D50,D54,D65:D66)</x:f>
        <x:v>0</x:v>
      </x:c>
      <x:c r="E49" s="151" t="n">
        <x:f>SUM(E50,E54,E65:E66)</x:f>
        <x:v>0</x:v>
      </x:c>
      <x:c r="F49" s="156" t="n">
        <x:f>SUM(F50,F54,F65:F66)</x:f>
        <x:v>0</x:v>
      </x:c>
      <x:c r="G49" s="146" t="n">
        <x:f>SUM(G50,G54,G65:G66)</x:f>
        <x:v>0</x:v>
      </x:c>
      <x:c r="H49" s="151" t="n">
        <x:f>SUM(H50,H54,H65:H66)</x:f>
        <x:v>0</x:v>
      </x:c>
      <x:c r="I49" s="151" t="n">
        <x:f>SUM(I50,I54,I65:I66)</x:f>
        <x:v>0</x:v>
      </x:c>
      <x:c r="J49" s="151" t="n">
        <x:f>SUM(J50,J54,J65:J66)</x:f>
        <x:v>0</x:v>
      </x:c>
      <x:c r="K49" s="156" t="n">
        <x:f>SUM(K50,K54,K65:K66)</x:f>
        <x:v>0</x:v>
      </x:c>
      <x:c r="L49" s="146" t="n">
        <x:f>SUM(L50,L54,L65:L66)</x:f>
        <x:v>0</x:v>
      </x:c>
      <x:c r="M49" s="151" t="n">
        <x:f>SUM(M50,M54,M65:M66)</x:f>
        <x:v>0</x:v>
      </x:c>
      <x:c r="N49" s="151" t="n">
        <x:f>SUM(N50,N54,N65:N66)</x:f>
        <x:v>0</x:v>
      </x:c>
      <x:c r="O49" s="151" t="n">
        <x:f>SUM(O50,O54,O65:O66)</x:f>
        <x:v>0</x:v>
      </x:c>
      <x:c r="P49" s="156" t="n">
        <x:f>SUM(P50,P54,P65:P66)</x:f>
        <x:v>0</x:v>
      </x:c>
      <x:c r="Q49" s="146" t="n">
        <x:f>SUM(Q50,Q54,Q65:Q66)</x:f>
        <x:v>0</x:v>
      </x:c>
      <x:c r="R49" s="151" t="n">
        <x:f>SUM(R50,R54,R65:R66)</x:f>
        <x:v>0</x:v>
      </x:c>
      <x:c r="S49" s="151" t="n">
        <x:f>SUM(S50,S54,S65:S66)</x:f>
        <x:v>0</x:v>
      </x:c>
      <x:c r="T49" s="151" t="n">
        <x:f>SUM(T50,T54,T65:T66)</x:f>
        <x:v>0</x:v>
      </x:c>
      <x:c r="U49" s="156" t="n">
        <x:f>SUM(U50,U54,U65:U66)</x:f>
        <x:v>0</x:v>
      </x:c>
      <x:c r="V49" s="146" t="n">
        <x:f>SUM(V50,V54,V65:V66)</x:f>
        <x:v>0</x:v>
      </x:c>
      <x:c r="W49" s="151" t="n">
        <x:f>SUM(W50,W54,W65:W66)</x:f>
        <x:v>0</x:v>
      </x:c>
      <x:c r="X49" s="151" t="n">
        <x:f>SUM(X50,X54,X65:X66)</x:f>
        <x:v>0</x:v>
      </x:c>
      <x:c r="Y49" s="151" t="n">
        <x:f>SUM(Y50,Y54,Y65:Y66)</x:f>
        <x:v>0</x:v>
      </x:c>
      <x:c r="Z49" s="156" t="n">
        <x:f>SUM(Z50,Z54,Z65:Z66)</x:f>
        <x:v>0</x:v>
      </x:c>
    </x:row>
    <x:row r="50" ht="22" customHeight="1">
      <x:c r="A50" s="81" t="str">
        <x:v>研发费用分摊</x:v>
      </x:c>
      <x:c r="B50" s="86" t="n">
        <x:f>SUM(B51:B53)</x:f>
        <x:v>0</x:v>
      </x:c>
      <x:c r="C50" s="91" t="n">
        <x:f>SUM(C51:C53)</x:f>
        <x:v>0</x:v>
      </x:c>
      <x:c r="D50" s="91" t="n">
        <x:f>SUM(D51:D53)</x:f>
        <x:v>0</x:v>
      </x:c>
      <x:c r="E50" s="91" t="n">
        <x:f>SUM(E51:E53)</x:f>
        <x:v>0</x:v>
      </x:c>
      <x:c r="F50" s="96" t="n">
        <x:f>SUM(F51:F53)</x:f>
        <x:v>0</x:v>
      </x:c>
      <x:c r="G50" s="86" t="n">
        <x:f>SUM(G51:G53)</x:f>
        <x:v>0</x:v>
      </x:c>
      <x:c r="H50" s="91" t="n">
        <x:f>SUM(H51:H53)</x:f>
        <x:v>0</x:v>
      </x:c>
      <x:c r="I50" s="91" t="n">
        <x:f>SUM(I51:I53)</x:f>
        <x:v>0</x:v>
      </x:c>
      <x:c r="J50" s="91" t="n">
        <x:f>SUM(J51:J53)</x:f>
        <x:v>0</x:v>
      </x:c>
      <x:c r="K50" s="96" t="n">
        <x:f>SUM(K51:K53)</x:f>
        <x:v>0</x:v>
      </x:c>
      <x:c r="L50" s="86" t="n">
        <x:f>SUM(L51:L53)</x:f>
        <x:v>0</x:v>
      </x:c>
      <x:c r="M50" s="91" t="n">
        <x:f>SUM(M51:M53)</x:f>
        <x:v>0</x:v>
      </x:c>
      <x:c r="N50" s="91" t="n">
        <x:f>SUM(N51:N53)</x:f>
        <x:v>0</x:v>
      </x:c>
      <x:c r="O50" s="91" t="n">
        <x:f>SUM(O51:O53)</x:f>
        <x:v>0</x:v>
      </x:c>
      <x:c r="P50" s="96" t="n">
        <x:f>SUM(P51:P53)</x:f>
        <x:v>0</x:v>
      </x:c>
      <x:c r="Q50" s="86" t="n">
        <x:f>SUM(Q51:Q53)</x:f>
        <x:v>0</x:v>
      </x:c>
      <x:c r="R50" s="91" t="n">
        <x:f>SUM(R51:R53)</x:f>
        <x:v>0</x:v>
      </x:c>
      <x:c r="S50" s="91" t="n">
        <x:f>SUM(S51:S53)</x:f>
        <x:v>0</x:v>
      </x:c>
      <x:c r="T50" s="91" t="n">
        <x:f>SUM(T51:T53)</x:f>
        <x:v>0</x:v>
      </x:c>
      <x:c r="U50" s="96" t="n">
        <x:f>SUM(U51:U53)</x:f>
        <x:v>0</x:v>
      </x:c>
      <x:c r="V50" s="86" t="n">
        <x:f>SUM(V51:V53)</x:f>
        <x:v>0</x:v>
      </x:c>
      <x:c r="W50" s="91" t="n">
        <x:f>SUM(W51:W53)</x:f>
        <x:v>0</x:v>
      </x:c>
      <x:c r="X50" s="91" t="n">
        <x:f>SUM(X51:X53)</x:f>
        <x:v>0</x:v>
      </x:c>
      <x:c r="Y50" s="91" t="n">
        <x:f>SUM(Y51:Y53)</x:f>
        <x:v>0</x:v>
      </x:c>
      <x:c r="Z50" s="96" t="n">
        <x:f>SUM(Z51:Z53)</x:f>
        <x:v>0</x:v>
      </x:c>
    </x:row>
    <x:row r="51" ht="22" customHeight="1">
      <x:c r="A51" s="102" t="str">
        <x:v>-研发专项投入分摊(R1)</x:v>
      </x:c>
      <x:c r="B51" s="124"/>
      <x:c r="C51" s="129"/>
      <x:c r="D51" s="129"/>
      <x:c r="E51" s="129"/>
      <x:c r="F51" s="134"/>
      <x:c r="G51" s="124"/>
      <x:c r="H51" s="129"/>
      <x:c r="I51" s="129"/>
      <x:c r="J51" s="129"/>
      <x:c r="K51" s="134"/>
      <x:c r="L51" s="124"/>
      <x:c r="M51" s="129"/>
      <x:c r="N51" s="129"/>
      <x:c r="O51" s="129"/>
      <x:c r="P51" s="134"/>
      <x:c r="Q51" s="124"/>
      <x:c r="R51" s="129"/>
      <x:c r="S51" s="129"/>
      <x:c r="T51" s="129"/>
      <x:c r="U51" s="134"/>
      <x:c r="V51" s="124"/>
      <x:c r="W51" s="129"/>
      <x:c r="X51" s="129"/>
      <x:c r="Y51" s="129"/>
      <x:c r="Z51" s="134"/>
    </x:row>
    <x:row r="52" ht="22" customHeight="1">
      <x:c r="A52" s="102" t="str">
        <x:v>-研发人工&amp;部门(R2)</x:v>
      </x:c>
      <x:c r="B52" s="124"/>
      <x:c r="C52" s="129"/>
      <x:c r="D52" s="129"/>
      <x:c r="E52" s="129"/>
      <x:c r="F52" s="134"/>
      <x:c r="G52" s="124"/>
      <x:c r="H52" s="129"/>
      <x:c r="I52" s="129"/>
      <x:c r="J52" s="129"/>
      <x:c r="K52" s="134"/>
      <x:c r="L52" s="124"/>
      <x:c r="M52" s="129"/>
      <x:c r="N52" s="129"/>
      <x:c r="O52" s="129"/>
      <x:c r="P52" s="134"/>
      <x:c r="Q52" s="124"/>
      <x:c r="R52" s="129"/>
      <x:c r="S52" s="129"/>
      <x:c r="T52" s="129"/>
      <x:c r="U52" s="134"/>
      <x:c r="V52" s="124"/>
      <x:c r="W52" s="129"/>
      <x:c r="X52" s="129"/>
      <x:c r="Y52" s="129"/>
      <x:c r="Z52" s="134"/>
    </x:row>
    <x:row r="53" ht="22" customHeight="1">
      <x:c r="A53" s="102" t="str">
        <x:v>-通用&amp;预研分摊(R3)</x:v>
      </x:c>
      <x:c r="B53" s="124"/>
      <x:c r="C53" s="129"/>
      <x:c r="D53" s="129"/>
      <x:c r="E53" s="129"/>
      <x:c r="F53" s="134"/>
      <x:c r="G53" s="124"/>
      <x:c r="H53" s="129"/>
      <x:c r="I53" s="129"/>
      <x:c r="J53" s="129"/>
      <x:c r="K53" s="134"/>
      <x:c r="L53" s="124"/>
      <x:c r="M53" s="129"/>
      <x:c r="N53" s="129"/>
      <x:c r="O53" s="129"/>
      <x:c r="P53" s="134"/>
      <x:c r="Q53" s="124"/>
      <x:c r="R53" s="129"/>
      <x:c r="S53" s="129"/>
      <x:c r="T53" s="129"/>
      <x:c r="U53" s="134"/>
      <x:c r="V53" s="124"/>
      <x:c r="W53" s="129"/>
      <x:c r="X53" s="129"/>
      <x:c r="Y53" s="129"/>
      <x:c r="Z53" s="134"/>
    </x:row>
    <x:row r="54" ht="22" customHeight="1">
      <x:c r="A54" s="81" t="str">
        <x:v>销交服费用</x:v>
      </x:c>
      <x:c r="B54" s="86" t="n">
        <x:f>SUM(B55,B62)</x:f>
        <x:v>0</x:v>
      </x:c>
      <x:c r="C54" s="91" t="n">
        <x:f>SUM(C55,C62)</x:f>
        <x:v>0</x:v>
      </x:c>
      <x:c r="D54" s="91" t="n">
        <x:f>SUM(D55,D62)</x:f>
        <x:v>0</x:v>
      </x:c>
      <x:c r="E54" s="91" t="n">
        <x:f>SUM(E55,E62)</x:f>
        <x:v>0</x:v>
      </x:c>
      <x:c r="F54" s="96" t="n">
        <x:f>SUM(F55,F62)</x:f>
        <x:v>0</x:v>
      </x:c>
      <x:c r="G54" s="86" t="n">
        <x:f>SUM(G55,G62)</x:f>
        <x:v>0</x:v>
      </x:c>
      <x:c r="H54" s="91" t="n">
        <x:f>SUM(H55,H62)</x:f>
        <x:v>0</x:v>
      </x:c>
      <x:c r="I54" s="91" t="n">
        <x:f>SUM(I55,I62)</x:f>
        <x:v>0</x:v>
      </x:c>
      <x:c r="J54" s="91" t="n">
        <x:f>SUM(J55,J62)</x:f>
        <x:v>0</x:v>
      </x:c>
      <x:c r="K54" s="96" t="n">
        <x:f>SUM(K55,K62)</x:f>
        <x:v>0</x:v>
      </x:c>
      <x:c r="L54" s="86" t="n">
        <x:f>SUM(L55,L62)</x:f>
        <x:v>0</x:v>
      </x:c>
      <x:c r="M54" s="91" t="n">
        <x:f>SUM(M55,M62)</x:f>
        <x:v>0</x:v>
      </x:c>
      <x:c r="N54" s="91" t="n">
        <x:f>SUM(N55,N62)</x:f>
        <x:v>0</x:v>
      </x:c>
      <x:c r="O54" s="91" t="n">
        <x:f>SUM(O55,O62)</x:f>
        <x:v>0</x:v>
      </x:c>
      <x:c r="P54" s="96" t="n">
        <x:f>SUM(P55,P62)</x:f>
        <x:v>0</x:v>
      </x:c>
      <x:c r="Q54" s="86" t="n">
        <x:f>SUM(Q55,Q62)</x:f>
        <x:v>0</x:v>
      </x:c>
      <x:c r="R54" s="91" t="n">
        <x:f>SUM(R55,R62)</x:f>
        <x:v>0</x:v>
      </x:c>
      <x:c r="S54" s="91" t="n">
        <x:f>SUM(S55,S62)</x:f>
        <x:v>0</x:v>
      </x:c>
      <x:c r="T54" s="91" t="n">
        <x:f>SUM(T55,T62)</x:f>
        <x:v>0</x:v>
      </x:c>
      <x:c r="U54" s="96" t="n">
        <x:f>SUM(U55,U62)</x:f>
        <x:v>0</x:v>
      </x:c>
      <x:c r="V54" s="86" t="n">
        <x:f>SUM(V55,V62)</x:f>
        <x:v>0</x:v>
      </x:c>
      <x:c r="W54" s="91" t="n">
        <x:f>SUM(W55,W62)</x:f>
        <x:v>0</x:v>
      </x:c>
      <x:c r="X54" s="91" t="n">
        <x:f>SUM(X55,X62)</x:f>
        <x:v>0</x:v>
      </x:c>
      <x:c r="Y54" s="91" t="n">
        <x:f>SUM(Y55,Y62)</x:f>
        <x:v>0</x:v>
      </x:c>
      <x:c r="Z54" s="96" t="n">
        <x:f>SUM(Z55,Z62)</x:f>
        <x:v>0</x:v>
      </x:c>
    </x:row>
    <x:row r="55" ht="22" customHeight="1">
      <x:c r="A55" s="81" t="str">
        <x:v>变动销交服费用</x:v>
      </x:c>
      <x:c r="B55" s="86" t="n">
        <x:f>SUM(B56:B61)</x:f>
        <x:v>0</x:v>
      </x:c>
      <x:c r="C55" s="91" t="n">
        <x:f>SUM(C56:C61)</x:f>
        <x:v>0</x:v>
      </x:c>
      <x:c r="D55" s="91" t="n">
        <x:f>SUM(D56:D61)</x:f>
        <x:v>0</x:v>
      </x:c>
      <x:c r="E55" s="91" t="n">
        <x:f>SUM(E56:E61)</x:f>
        <x:v>0</x:v>
      </x:c>
      <x:c r="F55" s="96" t="n">
        <x:f>SUM(F56:F61)</x:f>
        <x:v>0</x:v>
      </x:c>
      <x:c r="G55" s="86" t="n">
        <x:f>SUM(G56:G61)</x:f>
        <x:v>0</x:v>
      </x:c>
      <x:c r="H55" s="91" t="n">
        <x:f>SUM(H56:H61)</x:f>
        <x:v>0</x:v>
      </x:c>
      <x:c r="I55" s="91" t="n">
        <x:f>SUM(I56:I61)</x:f>
        <x:v>0</x:v>
      </x:c>
      <x:c r="J55" s="91" t="n">
        <x:f>SUM(J56:J61)</x:f>
        <x:v>0</x:v>
      </x:c>
      <x:c r="K55" s="96" t="n">
        <x:f>SUM(K56:K61)</x:f>
        <x:v>0</x:v>
      </x:c>
      <x:c r="L55" s="86" t="n">
        <x:f>SUM(L56:L61)</x:f>
        <x:v>0</x:v>
      </x:c>
      <x:c r="M55" s="91" t="n">
        <x:f>SUM(M56:M61)</x:f>
        <x:v>0</x:v>
      </x:c>
      <x:c r="N55" s="91" t="n">
        <x:f>SUM(N56:N61)</x:f>
        <x:v>0</x:v>
      </x:c>
      <x:c r="O55" s="91" t="n">
        <x:f>SUM(O56:O61)</x:f>
        <x:v>0</x:v>
      </x:c>
      <x:c r="P55" s="96" t="n">
        <x:f>SUM(P56:P61)</x:f>
        <x:v>0</x:v>
      </x:c>
      <x:c r="Q55" s="86" t="n">
        <x:f>SUM(Q56:Q61)</x:f>
        <x:v>0</x:v>
      </x:c>
      <x:c r="R55" s="91" t="n">
        <x:f>SUM(R56:R61)</x:f>
        <x:v>0</x:v>
      </x:c>
      <x:c r="S55" s="91" t="n">
        <x:f>SUM(S56:S61)</x:f>
        <x:v>0</x:v>
      </x:c>
      <x:c r="T55" s="91" t="n">
        <x:f>SUM(T56:T61)</x:f>
        <x:v>0</x:v>
      </x:c>
      <x:c r="U55" s="96" t="n">
        <x:f>SUM(U56:U61)</x:f>
        <x:v>0</x:v>
      </x:c>
      <x:c r="V55" s="86" t="n">
        <x:f>SUM(V56:V61)</x:f>
        <x:v>0</x:v>
      </x:c>
      <x:c r="W55" s="91" t="n">
        <x:f>SUM(W56:W61)</x:f>
        <x:v>0</x:v>
      </x:c>
      <x:c r="X55" s="91" t="n">
        <x:f>SUM(X56:X61)</x:f>
        <x:v>0</x:v>
      </x:c>
      <x:c r="Y55" s="91" t="n">
        <x:f>SUM(Y56:Y61)</x:f>
        <x:v>0</x:v>
      </x:c>
      <x:c r="Z55" s="96" t="n">
        <x:f>SUM(Z56:Z61)</x:f>
        <x:v>0</x:v>
      </x:c>
    </x:row>
    <x:row r="56" ht="22" customHeight="1">
      <x:c r="A56" s="102" t="str">
        <x:v>-商务政策</x:v>
      </x:c>
      <x:c r="B56" s="124"/>
      <x:c r="C56" s="129"/>
      <x:c r="D56" s="129"/>
      <x:c r="E56" s="129"/>
      <x:c r="F56" s="134"/>
      <x:c r="G56" s="124"/>
      <x:c r="H56" s="129"/>
      <x:c r="I56" s="129"/>
      <x:c r="J56" s="129"/>
      <x:c r="K56" s="134"/>
      <x:c r="L56" s="124"/>
      <x:c r="M56" s="129"/>
      <x:c r="N56" s="129"/>
      <x:c r="O56" s="129"/>
      <x:c r="P56" s="134"/>
      <x:c r="Q56" s="124"/>
      <x:c r="R56" s="129"/>
      <x:c r="S56" s="129"/>
      <x:c r="T56" s="129"/>
      <x:c r="U56" s="134"/>
      <x:c r="V56" s="124"/>
      <x:c r="W56" s="129"/>
      <x:c r="X56" s="129"/>
      <x:c r="Y56" s="129"/>
      <x:c r="Z56" s="134"/>
    </x:row>
    <x:row r="57" ht="22" customHeight="1">
      <x:c r="A57" s="102" t="str">
        <x:v>-用户权益（礼盒、胶垫等）</x:v>
      </x:c>
      <x:c r="B57" s="124"/>
      <x:c r="C57" s="129"/>
      <x:c r="D57" s="129"/>
      <x:c r="E57" s="129"/>
      <x:c r="F57" s="134"/>
      <x:c r="G57" s="124"/>
      <x:c r="H57" s="129"/>
      <x:c r="I57" s="129"/>
      <x:c r="J57" s="129"/>
      <x:c r="K57" s="134"/>
      <x:c r="L57" s="124"/>
      <x:c r="M57" s="129"/>
      <x:c r="N57" s="129"/>
      <x:c r="O57" s="129"/>
      <x:c r="P57" s="134"/>
      <x:c r="Q57" s="124"/>
      <x:c r="R57" s="129"/>
      <x:c r="S57" s="129"/>
      <x:c r="T57" s="129"/>
      <x:c r="U57" s="134"/>
      <x:c r="V57" s="124"/>
      <x:c r="W57" s="129"/>
      <x:c r="X57" s="129"/>
      <x:c r="Y57" s="129"/>
      <x:c r="Z57" s="134"/>
    </x:row>
    <x:row r="58" ht="22" customHeight="1">
      <x:c r="A58" s="102" t="str">
        <x:v>-整车物流费用</x:v>
      </x:c>
      <x:c r="B58" s="124"/>
      <x:c r="C58" s="129"/>
      <x:c r="D58" s="129"/>
      <x:c r="E58" s="129"/>
      <x:c r="F58" s="134"/>
      <x:c r="G58" s="124"/>
      <x:c r="H58" s="129"/>
      <x:c r="I58" s="129"/>
      <x:c r="J58" s="129"/>
      <x:c r="K58" s="134"/>
      <x:c r="L58" s="124"/>
      <x:c r="M58" s="129"/>
      <x:c r="N58" s="129"/>
      <x:c r="O58" s="129"/>
      <x:c r="P58" s="134"/>
      <x:c r="Q58" s="124"/>
      <x:c r="R58" s="129"/>
      <x:c r="S58" s="129"/>
      <x:c r="T58" s="129"/>
      <x:c r="U58" s="134"/>
      <x:c r="V58" s="124"/>
      <x:c r="W58" s="129"/>
      <x:c r="X58" s="129"/>
      <x:c r="Y58" s="129"/>
      <x:c r="Z58" s="134"/>
    </x:row>
    <x:row r="59" ht="22" customHeight="1">
      <x:c r="A59" s="102" t="str">
        <x:v>-支付通道手续费</x:v>
      </x:c>
      <x:c r="B59" s="124"/>
      <x:c r="C59" s="129"/>
      <x:c r="D59" s="129"/>
      <x:c r="E59" s="129"/>
      <x:c r="F59" s="134"/>
      <x:c r="G59" s="124"/>
      <x:c r="H59" s="129"/>
      <x:c r="I59" s="129"/>
      <x:c r="J59" s="129"/>
      <x:c r="K59" s="134"/>
      <x:c r="L59" s="124"/>
      <x:c r="M59" s="129"/>
      <x:c r="N59" s="129"/>
      <x:c r="O59" s="129"/>
      <x:c r="P59" s="134"/>
      <x:c r="Q59" s="124"/>
      <x:c r="R59" s="129"/>
      <x:c r="S59" s="129"/>
      <x:c r="T59" s="129"/>
      <x:c r="U59" s="134"/>
      <x:c r="V59" s="124"/>
      <x:c r="W59" s="129"/>
      <x:c r="X59" s="129"/>
      <x:c r="Y59" s="129"/>
      <x:c r="Z59" s="134"/>
    </x:row>
    <x:row r="60" ht="30" customHeight="1">
      <x:c r="A60" s="102" t="str">
        <x:v>-用户权益（如实物等待礼、交付积分、服务积分等(T5)</x:v>
      </x:c>
      <x:c r="B60" s="124"/>
      <x:c r="C60" s="129"/>
      <x:c r="D60" s="129"/>
      <x:c r="E60" s="129"/>
      <x:c r="F60" s="134"/>
      <x:c r="G60" s="124"/>
      <x:c r="H60" s="129"/>
      <x:c r="I60" s="129"/>
      <x:c r="J60" s="129"/>
      <x:c r="K60" s="134"/>
      <x:c r="L60" s="124"/>
      <x:c r="M60" s="129"/>
      <x:c r="N60" s="129"/>
      <x:c r="O60" s="129"/>
      <x:c r="P60" s="134"/>
      <x:c r="Q60" s="124"/>
      <x:c r="R60" s="129"/>
      <x:c r="S60" s="129"/>
      <x:c r="T60" s="129"/>
      <x:c r="U60" s="134"/>
      <x:c r="V60" s="124"/>
      <x:c r="W60" s="129"/>
      <x:c r="X60" s="129"/>
      <x:c r="Y60" s="129"/>
      <x:c r="Z60" s="134"/>
    </x:row>
    <x:row r="61" ht="22" customHeight="1">
      <x:c r="A61" s="102" t="str">
        <x:v>-其他</x:v>
      </x:c>
      <x:c r="B61" s="124"/>
      <x:c r="C61" s="129"/>
      <x:c r="D61" s="129"/>
      <x:c r="E61" s="129"/>
      <x:c r="F61" s="134"/>
      <x:c r="G61" s="124"/>
      <x:c r="H61" s="129"/>
      <x:c r="I61" s="129"/>
      <x:c r="J61" s="129"/>
      <x:c r="K61" s="134"/>
      <x:c r="L61" s="124"/>
      <x:c r="M61" s="129"/>
      <x:c r="N61" s="129"/>
      <x:c r="O61" s="129"/>
      <x:c r="P61" s="134"/>
      <x:c r="Q61" s="124"/>
      <x:c r="R61" s="129"/>
      <x:c r="S61" s="129"/>
      <x:c r="T61" s="129"/>
      <x:c r="U61" s="134"/>
      <x:c r="V61" s="124"/>
      <x:c r="W61" s="129"/>
      <x:c r="X61" s="129"/>
      <x:c r="Y61" s="129"/>
      <x:c r="Z61" s="134"/>
    </x:row>
    <x:row r="62" ht="22" customHeight="1">
      <x:c r="A62" s="81" t="str">
        <x:v>固定销交服费用</x:v>
      </x:c>
      <x:c r="B62" s="86" t="n">
        <x:f>SUM(B63:B64)</x:f>
        <x:v>0</x:v>
      </x:c>
      <x:c r="C62" s="91" t="n">
        <x:f>SUM(C63:C64)</x:f>
        <x:v>0</x:v>
      </x:c>
      <x:c r="D62" s="91" t="n">
        <x:f>SUM(D63:D64)</x:f>
        <x:v>0</x:v>
      </x:c>
      <x:c r="E62" s="91" t="n">
        <x:f>SUM(E63:E64)</x:f>
        <x:v>0</x:v>
      </x:c>
      <x:c r="F62" s="96" t="n">
        <x:f>SUM(F63:F64)</x:f>
        <x:v>0</x:v>
      </x:c>
      <x:c r="G62" s="86" t="n">
        <x:f>SUM(G63:G64)</x:f>
        <x:v>0</x:v>
      </x:c>
      <x:c r="H62" s="91" t="n">
        <x:f>SUM(H63:H64)</x:f>
        <x:v>0</x:v>
      </x:c>
      <x:c r="I62" s="91" t="n">
        <x:f>SUM(I63:I64)</x:f>
        <x:v>0</x:v>
      </x:c>
      <x:c r="J62" s="91" t="n">
        <x:f>SUM(J63:J64)</x:f>
        <x:v>0</x:v>
      </x:c>
      <x:c r="K62" s="96" t="n">
        <x:f>SUM(K63:K64)</x:f>
        <x:v>0</x:v>
      </x:c>
      <x:c r="L62" s="86" t="n">
        <x:f>SUM(L63:L64)</x:f>
        <x:v>0</x:v>
      </x:c>
      <x:c r="M62" s="91" t="n">
        <x:f>SUM(M63:M64)</x:f>
        <x:v>0</x:v>
      </x:c>
      <x:c r="N62" s="91" t="n">
        <x:f>SUM(N63:N64)</x:f>
        <x:v>0</x:v>
      </x:c>
      <x:c r="O62" s="91" t="n">
        <x:f>SUM(O63:O64)</x:f>
        <x:v>0</x:v>
      </x:c>
      <x:c r="P62" s="96" t="n">
        <x:f>SUM(P63:P64)</x:f>
        <x:v>0</x:v>
      </x:c>
      <x:c r="Q62" s="86" t="n">
        <x:f>SUM(Q63:Q64)</x:f>
        <x:v>0</x:v>
      </x:c>
      <x:c r="R62" s="91" t="n">
        <x:f>SUM(R63:R64)</x:f>
        <x:v>0</x:v>
      </x:c>
      <x:c r="S62" s="91" t="n">
        <x:f>SUM(S63:S64)</x:f>
        <x:v>0</x:v>
      </x:c>
      <x:c r="T62" s="91" t="n">
        <x:f>SUM(T63:T64)</x:f>
        <x:v>0</x:v>
      </x:c>
      <x:c r="U62" s="96" t="n">
        <x:f>SUM(U63:U64)</x:f>
        <x:v>0</x:v>
      </x:c>
      <x:c r="V62" s="86" t="n">
        <x:f>SUM(V63:V64)</x:f>
        <x:v>0</x:v>
      </x:c>
      <x:c r="W62" s="91" t="n">
        <x:f>SUM(W63:W64)</x:f>
        <x:v>0</x:v>
      </x:c>
      <x:c r="X62" s="91" t="n">
        <x:f>SUM(X63:X64)</x:f>
        <x:v>0</x:v>
      </x:c>
      <x:c r="Y62" s="91" t="n">
        <x:f>SUM(Y63:Y64)</x:f>
        <x:v>0</x:v>
      </x:c>
      <x:c r="Z62" s="96" t="n">
        <x:f>SUM(Z63:Z64)</x:f>
        <x:v>0</x:v>
      </x:c>
    </x:row>
    <x:row r="63" ht="22" customHeight="1">
      <x:c r="A63" s="102" t="str">
        <x:v>-折旧摊销</x:v>
      </x:c>
      <x:c r="B63" s="124"/>
      <x:c r="C63" s="129"/>
      <x:c r="D63" s="129"/>
      <x:c r="E63" s="129"/>
      <x:c r="F63" s="134"/>
      <x:c r="G63" s="124"/>
      <x:c r="H63" s="129"/>
      <x:c r="I63" s="129"/>
      <x:c r="J63" s="129"/>
      <x:c r="K63" s="134"/>
      <x:c r="L63" s="124"/>
      <x:c r="M63" s="129"/>
      <x:c r="N63" s="129"/>
      <x:c r="O63" s="129"/>
      <x:c r="P63" s="134"/>
      <x:c r="Q63" s="124"/>
      <x:c r="R63" s="129"/>
      <x:c r="S63" s="129"/>
      <x:c r="T63" s="129"/>
      <x:c r="U63" s="134"/>
      <x:c r="V63" s="124"/>
      <x:c r="W63" s="129"/>
      <x:c r="X63" s="129"/>
      <x:c r="Y63" s="129"/>
      <x:c r="Z63" s="134"/>
    </x:row>
    <x:row r="64" ht="22" customHeight="1">
      <x:c r="A64" s="102" t="str">
        <x:v>-其他</x:v>
      </x:c>
      <x:c r="B64" s="124"/>
      <x:c r="C64" s="129"/>
      <x:c r="D64" s="129"/>
      <x:c r="E64" s="129"/>
      <x:c r="F64" s="134"/>
      <x:c r="G64" s="124"/>
      <x:c r="H64" s="129"/>
      <x:c r="I64" s="129"/>
      <x:c r="J64" s="129"/>
      <x:c r="K64" s="134"/>
      <x:c r="L64" s="124"/>
      <x:c r="M64" s="129"/>
      <x:c r="N64" s="129"/>
      <x:c r="O64" s="129"/>
      <x:c r="P64" s="134"/>
      <x:c r="Q64" s="124"/>
      <x:c r="R64" s="129"/>
      <x:c r="S64" s="129"/>
      <x:c r="T64" s="129"/>
      <x:c r="U64" s="134"/>
      <x:c r="V64" s="124"/>
      <x:c r="W64" s="129"/>
      <x:c r="X64" s="129"/>
      <x:c r="Y64" s="129"/>
      <x:c r="Z64" s="134"/>
    </x:row>
    <x:row r="65" ht="22" customHeight="1">
      <x:c r="A65" s="81" t="str">
        <x:v>市场费用</x:v>
      </x:c>
      <x:c r="B65" s="162"/>
      <x:c r="C65" s="167"/>
      <x:c r="D65" s="167"/>
      <x:c r="E65" s="167"/>
      <x:c r="F65" s="172"/>
      <x:c r="G65" s="162"/>
      <x:c r="H65" s="167"/>
      <x:c r="I65" s="167"/>
      <x:c r="J65" s="167"/>
      <x:c r="K65" s="172"/>
      <x:c r="L65" s="162"/>
      <x:c r="M65" s="167"/>
      <x:c r="N65" s="167"/>
      <x:c r="O65" s="167"/>
      <x:c r="P65" s="172"/>
      <x:c r="Q65" s="162"/>
      <x:c r="R65" s="167"/>
      <x:c r="S65" s="167"/>
      <x:c r="T65" s="167"/>
      <x:c r="U65" s="172"/>
      <x:c r="V65" s="162"/>
      <x:c r="W65" s="167"/>
      <x:c r="X65" s="167"/>
      <x:c r="Y65" s="167"/>
      <x:c r="Z65" s="172"/>
    </x:row>
    <x:row r="66" ht="22" customHeight="1">
      <x:c r="A66" s="81" t="str">
        <x:v>集团分摊（国税）</x:v>
      </x:c>
      <x:c r="B66" s="162"/>
      <x:c r="C66" s="167"/>
      <x:c r="D66" s="167"/>
      <x:c r="E66" s="167"/>
      <x:c r="F66" s="172"/>
      <x:c r="G66" s="162"/>
      <x:c r="H66" s="167"/>
      <x:c r="I66" s="167"/>
      <x:c r="J66" s="167"/>
      <x:c r="K66" s="172"/>
      <x:c r="L66" s="162"/>
      <x:c r="M66" s="167"/>
      <x:c r="N66" s="167"/>
      <x:c r="O66" s="167"/>
      <x:c r="P66" s="172"/>
      <x:c r="Q66" s="162"/>
      <x:c r="R66" s="167"/>
      <x:c r="S66" s="167"/>
      <x:c r="T66" s="167"/>
      <x:c r="U66" s="172"/>
      <x:c r="V66" s="162"/>
      <x:c r="W66" s="167"/>
      <x:c r="X66" s="167"/>
      <x:c r="Y66" s="167"/>
      <x:c r="Z66" s="172"/>
    </x:row>
    <x:row r="67" ht="24" customHeight="1">
      <x:c r="A67" s="179" t="str">
        <x:v>EBIT</x:v>
      </x:c>
      <x:c r="B67" s="185" t="n">
        <x:f>SUM(B48:B49)</x:f>
        <x:v>0</x:v>
      </x:c>
      <x:c r="C67" s="190" t="n">
        <x:f>SUM(C48:C49)</x:f>
        <x:v>0</x:v>
      </x:c>
      <x:c r="D67" s="190" t="n">
        <x:f>SUM(D48:D49)</x:f>
        <x:v>0</x:v>
      </x:c>
      <x:c r="E67" s="190" t="n">
        <x:f>SUM(E48:E49)</x:f>
        <x:v>0</x:v>
      </x:c>
      <x:c r="F67" s="195" t="n">
        <x:f>SUM(F48:F49)</x:f>
        <x:v>0</x:v>
      </x:c>
      <x:c r="G67" s="185" t="n">
        <x:f>SUM(G48:G49)</x:f>
        <x:v>0</x:v>
      </x:c>
      <x:c r="H67" s="190" t="n">
        <x:f>SUM(H48:H49)</x:f>
        <x:v>0</x:v>
      </x:c>
      <x:c r="I67" s="190" t="n">
        <x:f>SUM(I48:I49)</x:f>
        <x:v>0</x:v>
      </x:c>
      <x:c r="J67" s="190" t="n">
        <x:f>SUM(J48:J49)</x:f>
        <x:v>0</x:v>
      </x:c>
      <x:c r="K67" s="195" t="n">
        <x:f>SUM(K48:K49)</x:f>
        <x:v>0</x:v>
      </x:c>
      <x:c r="L67" s="185" t="n">
        <x:f>SUM(L48:L49)</x:f>
        <x:v>0</x:v>
      </x:c>
      <x:c r="M67" s="190" t="n">
        <x:f>SUM(M48:M49)</x:f>
        <x:v>0</x:v>
      </x:c>
      <x:c r="N67" s="190" t="n">
        <x:f>SUM(N48:N49)</x:f>
        <x:v>0</x:v>
      </x:c>
      <x:c r="O67" s="190" t="n">
        <x:f>SUM(O48:O49)</x:f>
        <x:v>0</x:v>
      </x:c>
      <x:c r="P67" s="195" t="n">
        <x:f>SUM(P48:P49)</x:f>
        <x:v>0</x:v>
      </x:c>
      <x:c r="Q67" s="185" t="n">
        <x:f>SUM(Q48:Q49)</x:f>
        <x:v>0</x:v>
      </x:c>
      <x:c r="R67" s="190" t="n">
        <x:f>SUM(R48:R49)</x:f>
        <x:v>0</x:v>
      </x:c>
      <x:c r="S67" s="190" t="n">
        <x:f>SUM(S48:S49)</x:f>
        <x:v>0</x:v>
      </x:c>
      <x:c r="T67" s="190" t="n">
        <x:f>SUM(T48:T49)</x:f>
        <x:v>0</x:v>
      </x:c>
      <x:c r="U67" s="195" t="n">
        <x:f>SUM(U48:U49)</x:f>
        <x:v>0</x:v>
      </x:c>
      <x:c r="V67" s="185" t="n">
        <x:f>SUM(V48:V49)</x:f>
        <x:v>0</x:v>
      </x:c>
      <x:c r="W67" s="190" t="n">
        <x:f>SUM(W48:W49)</x:f>
        <x:v>0</x:v>
      </x:c>
      <x:c r="X67" s="190" t="n">
        <x:f>SUM(X48:X49)</x:f>
        <x:v>0</x:v>
      </x:c>
      <x:c r="Y67" s="190" t="n">
        <x:f>SUM(Y48:Y49)</x:f>
        <x:v>0</x:v>
      </x:c>
      <x:c r="Z67" s="195" t="n">
        <x:f>SUM(Z48:Z49)</x:f>
        <x:v>0</x:v>
      </x:c>
    </x:row>
    <x:row r="68" ht="22" customHeight="1">
      <x:c r="A68"/>
      <x:c r="B68"/>
      <x:c r="C68"/>
      <x:c r="D68"/>
      <x:c r="E68"/>
      <x:c r="F68"/>
      <x:c r="G68"/>
      <x:c r="H68"/>
      <x:c r="I68"/>
      <x:c r="J68"/>
      <x:c r="K68"/>
      <x:c r="L68"/>
      <x:c r="M68"/>
      <x:c r="N68"/>
      <x:c r="O68"/>
      <x:c r="P68"/>
      <x:c r="Q68"/>
      <x:c r="R68"/>
      <x:c r="S68"/>
      <x:c r="T68"/>
      <x:c r="U68"/>
      <x:c r="V68"/>
      <x:c r="W68"/>
      <x:c r="X68"/>
      <x:c r="Y68"/>
      <x:c r="Z68"/>
    </x:row>
    <x:row r="69" ht="22" customHeight="1">
      <x:c r="A69"/>
      <x:c r="B69"/>
      <x:c r="C69"/>
      <x:c r="D69"/>
      <x:c r="E69"/>
      <x:c r="F69"/>
      <x:c r="G69"/>
      <x:c r="H69"/>
      <x:c r="I69"/>
      <x:c r="J69"/>
      <x:c r="K69"/>
      <x:c r="L69"/>
      <x:c r="M69"/>
      <x:c r="N69"/>
      <x:c r="O69"/>
      <x:c r="P69"/>
      <x:c r="Q69"/>
      <x:c r="R69"/>
      <x:c r="S69"/>
      <x:c r="T69"/>
      <x:c r="U69"/>
      <x:c r="V69"/>
      <x:c r="W69"/>
      <x:c r="X69"/>
      <x:c r="Y69"/>
      <x:c r="Z69"/>
    </x:row>
    <x:row r="70" ht="23" customHeight="1">
      <x:c r="A70" s="200" t="str">
        <x:v>计算参数</x:v>
      </x:c>
      <x:c r="B70" s="200" t="str">
        <x:v>按上方同列的年度、车型填写</x:v>
      </x:c>
      <x:c r="C70"/>
      <x:c r="D70"/>
      <x:c r="E70"/>
      <x:c r="F70"/>
      <x:c r="G70" s="200"/>
      <x:c r="H70" s="200"/>
      <x:c r="I70" s="200"/>
      <x:c r="J70" s="200"/>
      <x:c r="K70" s="200"/>
      <x:c r="L70" s="200"/>
      <x:c r="M70" s="200"/>
      <x:c r="N70" s="200"/>
      <x:c r="O70" s="200"/>
      <x:c r="P70" s="200"/>
      <x:c r="Q70" s="200"/>
      <x:c r="R70" s="200"/>
      <x:c r="S70" s="200"/>
      <x:c r="T70" s="200"/>
      <x:c r="U70" s="200"/>
      <x:c r="V70" s="200"/>
      <x:c r="W70" s="200"/>
      <x:c r="X70" s="200"/>
      <x:c r="Y70" s="200"/>
      <x:c r="Z70" s="200"/>
    </x:row>
    <x:row r="71" ht="23" customHeight="1">
      <x:c r="A71" s="204" t="str">
        <x:v>增值税率</x:v>
      </x:c>
      <x:c r="B71" s="208"/>
      <x:c r="C71" s="208"/>
      <x:c r="D71" s="208"/>
      <x:c r="E71" s="208"/>
      <x:c r="F71" s="208"/>
      <x:c r="G71" s="208"/>
      <x:c r="H71" s="208"/>
      <x:c r="I71" s="208"/>
      <x:c r="J71" s="208"/>
      <x:c r="K71" s="208"/>
      <x:c r="L71" s="208"/>
      <x:c r="M71" s="208"/>
      <x:c r="N71" s="208"/>
      <x:c r="O71" s="208"/>
      <x:c r="P71" s="208"/>
      <x:c r="Q71" s="208"/>
      <x:c r="R71" s="208"/>
      <x:c r="S71" s="208"/>
      <x:c r="T71" s="208"/>
      <x:c r="U71" s="208"/>
      <x:c r="V71" s="208"/>
      <x:c r="W71" s="208"/>
      <x:c r="X71" s="208"/>
      <x:c r="Y71" s="208"/>
      <x:c r="Z71" s="208"/>
    </x:row>
    <x:row r="72" ht="23" customHeight="1">
      <x:c r="A72" s="204" t="str">
        <x:v>消费税率</x:v>
      </x:c>
      <x:c r="B72" s="208"/>
      <x:c r="C72" s="208"/>
      <x:c r="D72" s="208"/>
      <x:c r="E72" s="208"/>
      <x:c r="F72" s="208"/>
      <x:c r="G72" s="208"/>
      <x:c r="H72" s="208"/>
      <x:c r="I72" s="208"/>
      <x:c r="J72" s="208"/>
      <x:c r="K72" s="208"/>
      <x:c r="L72" s="208"/>
      <x:c r="M72" s="208"/>
      <x:c r="N72" s="208"/>
      <x:c r="O72" s="208"/>
      <x:c r="P72" s="208"/>
      <x:c r="Q72" s="208"/>
      <x:c r="R72" s="208"/>
      <x:c r="S72" s="208"/>
      <x:c r="T72" s="208"/>
      <x:c r="U72" s="208"/>
      <x:c r="V72" s="208"/>
      <x:c r="W72" s="208"/>
      <x:c r="X72" s="208"/>
      <x:c r="Y72" s="208"/>
      <x:c r="Z72" s="208"/>
    </x:row>
    <x:row r="73" ht="23" customHeight="1">
      <x:c r="A73" s="204" t="str">
        <x:v>城建税及教育附加综合税率</x:v>
      </x:c>
      <x:c r="B73" s="208"/>
      <x:c r="C73" s="208"/>
      <x:c r="D73" s="208"/>
      <x:c r="E73" s="208"/>
      <x:c r="F73" s="208"/>
      <x:c r="G73" s="208"/>
      <x:c r="H73" s="208"/>
      <x:c r="I73" s="208"/>
      <x:c r="J73" s="208"/>
      <x:c r="K73" s="208"/>
      <x:c r="L73" s="208"/>
      <x:c r="M73" s="208"/>
      <x:c r="N73" s="208"/>
      <x:c r="O73" s="208"/>
      <x:c r="P73" s="208"/>
      <x:c r="Q73" s="208"/>
      <x:c r="R73" s="208"/>
      <x:c r="S73" s="208"/>
      <x:c r="T73" s="208"/>
      <x:c r="U73" s="208"/>
      <x:c r="V73" s="208"/>
      <x:c r="W73" s="208"/>
      <x:c r="X73" s="208"/>
      <x:c r="Y73" s="208"/>
      <x:c r="Z73" s="208"/>
    </x:row>
    <x:row r="74" ht="23" customHeight="1">
      <x:c r="A74" s="204" t="str">
        <x:v>关税计税基数（元/台）</x:v>
      </x:c>
      <x:c r="B74" s="212"/>
      <x:c r="C74" s="212"/>
      <x:c r="D74" s="212"/>
      <x:c r="E74" s="212"/>
      <x:c r="F74" s="212"/>
      <x:c r="G74" s="212"/>
      <x:c r="H74" s="212"/>
      <x:c r="I74" s="212"/>
      <x:c r="J74" s="212"/>
      <x:c r="K74" s="212"/>
      <x:c r="L74" s="212"/>
      <x:c r="M74" s="212"/>
      <x:c r="N74" s="212"/>
      <x:c r="O74" s="212"/>
      <x:c r="P74" s="212"/>
      <x:c r="Q74" s="212"/>
      <x:c r="R74" s="212"/>
      <x:c r="S74" s="212"/>
      <x:c r="T74" s="212"/>
      <x:c r="U74" s="212"/>
      <x:c r="V74" s="212"/>
      <x:c r="W74" s="212"/>
      <x:c r="X74" s="212"/>
      <x:c r="Y74" s="212"/>
      <x:c r="Z74" s="212"/>
    </x:row>
    <x:row r="75" ht="23" customHeight="1">
      <x:c r="A75" s="204" t="str">
        <x:v>关税税率</x:v>
      </x:c>
      <x:c r="B75" s="208"/>
      <x:c r="C75" s="208"/>
      <x:c r="D75" s="208"/>
      <x:c r="E75" s="208"/>
      <x:c r="F75" s="208"/>
      <x:c r="G75" s="208"/>
      <x:c r="H75" s="208"/>
      <x:c r="I75" s="208"/>
      <x:c r="J75" s="208"/>
      <x:c r="K75" s="208"/>
      <x:c r="L75" s="208"/>
      <x:c r="M75" s="208"/>
      <x:c r="N75" s="208"/>
      <x:c r="O75" s="208"/>
      <x:c r="P75" s="208"/>
      <x:c r="Q75" s="208"/>
      <x:c r="R75" s="208"/>
      <x:c r="S75" s="208"/>
      <x:c r="T75" s="208"/>
      <x:c r="U75" s="208"/>
      <x:c r="V75" s="208"/>
      <x:c r="W75" s="208"/>
      <x:c r="X75" s="208"/>
      <x:c r="Y75" s="208"/>
      <x:c r="Z75" s="208"/>
    </x:row>
    <x:row r="76" ht="23" customHeight="1">
      <x:c r="A76" s="204" t="str">
        <x:v>质保计提比例（按 MSRP）</x:v>
      </x:c>
      <x:c r="B76" s="208"/>
      <x:c r="C76" s="208"/>
      <x:c r="D76" s="208"/>
      <x:c r="E76" s="208"/>
      <x:c r="F76" s="208"/>
      <x:c r="G76" s="208"/>
      <x:c r="H76" s="208"/>
      <x:c r="I76" s="208"/>
      <x:c r="J76" s="208"/>
      <x:c r="K76" s="208"/>
      <x:c r="L76" s="208"/>
      <x:c r="M76" s="208"/>
      <x:c r="N76" s="208"/>
      <x:c r="O76" s="208"/>
      <x:c r="P76" s="208"/>
      <x:c r="Q76" s="208"/>
      <x:c r="R76" s="208"/>
      <x:c r="S76" s="208"/>
      <x:c r="T76" s="208"/>
      <x:c r="U76" s="208"/>
      <x:c r="V76" s="208"/>
      <x:c r="W76" s="208"/>
      <x:c r="X76" s="208"/>
      <x:c r="Y76" s="208"/>
      <x:c r="Z76" s="208"/>
    </x:row>
    <x:row r="77" ht="22" customHeight="1">
      <x:c r="A77"/>
      <x:c r="B77"/>
      <x:c r="C77"/>
      <x:c r="D77"/>
      <x:c r="E77"/>
      <x:c r="F77"/>
      <x:c r="G77"/>
      <x:c r="H77"/>
      <x:c r="I77"/>
      <x:c r="J77"/>
      <x:c r="K77"/>
      <x:c r="L77"/>
      <x:c r="M77"/>
      <x:c r="N77"/>
      <x:c r="O77"/>
      <x:c r="P77"/>
      <x:c r="Q77"/>
      <x:c r="R77"/>
      <x:c r="S77"/>
      <x:c r="T77"/>
      <x:c r="U77"/>
      <x:c r="V77"/>
      <x:c r="W77"/>
      <x:c r="X77"/>
      <x:c r="Y77"/>
      <x:c r="Z77"/>
    </x:row>
    <x:row r="78" ht="22" customHeight="1">
      <x:c r="A78"/>
      <x:c r="B78"/>
      <x:c r="C78"/>
      <x:c r="D78"/>
      <x:c r="E78"/>
      <x:c r="F78"/>
      <x:c r="G78"/>
      <x:c r="H78"/>
      <x:c r="I78"/>
      <x:c r="J78"/>
      <x:c r="K78"/>
      <x:c r="L78"/>
      <x:c r="M78"/>
      <x:c r="N78"/>
      <x:c r="O78"/>
      <x:c r="P78"/>
      <x:c r="Q78"/>
      <x:c r="R78"/>
      <x:c r="S78"/>
      <x:c r="T78"/>
      <x:c r="U78"/>
      <x:c r="V78"/>
      <x:c r="W78"/>
      <x:c r="X78"/>
      <x:c r="Y78"/>
      <x:c r="Z78"/>
    </x:row>
    <x:row r="79" ht="24" customHeight="1">
      <x:c r="A79" s="216" t="str">
        <x:v>填写方式</x:v>
      </x:c>
      <x:c r="B79" s="220" t="str">
        <x:v>黄色区域填数：销量填台，MSRP填正数元/台，抵减、成本及费用填负数；其余空白按0。</x:v>
      </x:c>
      <x:c r="C79"/>
      <x:c r="D79"/>
      <x:c r="E79"/>
      <x:c r="F79"/>
      <x:c r="G79"/>
      <x:c r="H79"/>
      <x:c r="I79"/>
      <x:c r="J79"/>
      <x:c r="K79"/>
      <x:c r="L79"/>
      <x:c r="M79" s="222"/>
      <x:c r="N79" s="222"/>
      <x:c r="O79" s="222"/>
      <x:c r="P79" s="222"/>
      <x:c r="Q79" s="222"/>
      <x:c r="R79" s="222"/>
      <x:c r="S79" s="222"/>
      <x:c r="T79" s="222"/>
      <x:c r="U79" s="222"/>
      <x:c r="V79" s="222"/>
      <x:c r="W79" s="222"/>
      <x:c r="X79" s="222"/>
      <x:c r="Y79" s="222"/>
      <x:c r="Z79" s="222"/>
    </x:row>
    <x:row r="80" ht="24" customHeight="1">
      <x:c r="A80" s="216" t="str">
        <x:v>单位与正负</x:v>
      </x:c>
      <x:c r="B80" s="220" t="str">
        <x:v>年度可增删：复制整组车型列并修改SOP+n。每列保留年度、车型、单车（元），同年车型不可重复。</x:v>
      </x:c>
      <x:c r="C80"/>
      <x:c r="D80"/>
      <x:c r="E80"/>
      <x:c r="F80"/>
      <x:c r="G80"/>
      <x:c r="H80"/>
      <x:c r="I80"/>
      <x:c r="J80"/>
      <x:c r="K80"/>
      <x:c r="L80"/>
      <x:c r="M80" s="222"/>
      <x:c r="N80" s="222"/>
      <x:c r="O80" s="222"/>
      <x:c r="P80" s="222"/>
      <x:c r="Q80" s="222"/>
      <x:c r="R80" s="222"/>
      <x:c r="S80" s="222"/>
      <x:c r="T80" s="222"/>
      <x:c r="U80" s="222"/>
      <x:c r="V80" s="222"/>
      <x:c r="W80" s="222"/>
      <x:c r="X80" s="222"/>
      <x:c r="Y80" s="222"/>
      <x:c r="Z80" s="222"/>
    </x:row>
    <x:row r="81" ht="24" customHeight="1">
      <x:c r="A81" s="216" t="str">
        <x:v>固定费用</x:v>
      </x:c>
      <x:c r="B81" s="220" t="str">
        <x:v>固定制造费用、研发分摊、固定销交服及集团分摊，填已经分摊到单车的金额；本表不随销量自动重新分摊。</x:v>
      </x:c>
      <x:c r="C81"/>
      <x:c r="D81"/>
      <x:c r="E81"/>
      <x:c r="F81"/>
      <x:c r="G81"/>
      <x:c r="H81"/>
      <x:c r="I81"/>
      <x:c r="J81"/>
      <x:c r="K81"/>
      <x:c r="L81"/>
      <x:c r="M81" s="222"/>
      <x:c r="N81" s="222"/>
      <x:c r="O81" s="222"/>
      <x:c r="P81" s="222"/>
      <x:c r="Q81" s="222"/>
      <x:c r="R81" s="222"/>
      <x:c r="S81" s="222"/>
      <x:c r="T81" s="222"/>
      <x:c r="U81" s="222"/>
      <x:c r="V81" s="222"/>
      <x:c r="W81" s="222"/>
      <x:c r="X81" s="222"/>
      <x:c r="Y81" s="222"/>
      <x:c r="Z81" s="222"/>
    </x:row>
    <x:row r="82" ht="24" customHeight="1">
      <x:c r="A82" s="216" t="str">
        <x:v>汇总顺序</x:v>
      </x:c>
      <x:c r="B82" s="220" t="str">
        <x:v>收入抵减逐项相加；MSRP加VAT及抵减得到净收入，净收入加成本得到毛利，毛利加费用得到EBIT。集团分摊计入费用。</x:v>
      </x:c>
      <x:c r="C82"/>
      <x:c r="D82"/>
      <x:c r="E82"/>
      <x:c r="F82"/>
      <x:c r="G82"/>
      <x:c r="H82"/>
      <x:c r="I82"/>
      <x:c r="J82"/>
      <x:c r="K82"/>
      <x:c r="L82"/>
      <x:c r="M82" s="222"/>
      <x:c r="N82" s="222"/>
      <x:c r="O82" s="222"/>
      <x:c r="P82" s="222"/>
      <x:c r="Q82" s="222"/>
      <x:c r="R82" s="222"/>
      <x:c r="S82" s="222"/>
      <x:c r="T82" s="222"/>
      <x:c r="U82" s="222"/>
      <x:c r="V82" s="222"/>
      <x:c r="W82" s="222"/>
      <x:c r="X82" s="222"/>
      <x:c r="Y82" s="222"/>
      <x:c r="Z82" s="222"/>
    </x:row>
    <x:row r="83" ht="24" customHeight="1">
      <x:c r="A83" s="216" t="str">
        <x:v>BOM与调整</x:v>
      </x:c>
      <x:c r="B83" s="220" t="str">
        <x:v>BOM成本填写完整总额（元/台，负数）；赠送配置和模具分摊为其中明细，不重复加计。新增明细放在所属上级下方。</x:v>
      </x:c>
      <x:c r="C83"/>
      <x:c r="D83"/>
      <x:c r="E83"/>
      <x:c r="F83"/>
      <x:c r="G83"/>
      <x:c r="H83"/>
      <x:c r="I83"/>
      <x:c r="J83"/>
      <x:c r="K83"/>
      <x:c r="L83"/>
      <x:c r="M83" s="222"/>
      <x:c r="N83" s="222"/>
      <x:c r="O83" s="222"/>
      <x:c r="P83" s="222"/>
      <x:c r="Q83" s="222"/>
      <x:c r="R83" s="222"/>
      <x:c r="S83" s="222"/>
      <x:c r="T83" s="222"/>
      <x:c r="U83" s="222"/>
      <x:c r="V83" s="222"/>
      <x:c r="W83" s="222"/>
      <x:c r="X83" s="222"/>
      <x:c r="Y83" s="222"/>
      <x:c r="Z83" s="222"/>
    </x:row>
    <x:row r="84" ht="24" customHeight="1">
      <x:c r="A84" s="216" t="str">
        <x:v>税费口径</x:v>
      </x:c>
      <x:c r="B84" s="220" t="str">
        <x:v>VAT按含税MSRP价内剔除；消费税按净收入计提；关税按所填计税基数乘税率，税率为0时可不填基数。</x:v>
      </x:c>
      <x:c r="C84"/>
      <x:c r="D84"/>
      <x:c r="E84"/>
      <x:c r="F84"/>
      <x:c r="G84"/>
      <x:c r="H84"/>
      <x:c r="I84"/>
      <x:c r="J84"/>
      <x:c r="K84"/>
      <x:c r="L84"/>
      <x:c r="M84" s="222"/>
      <x:c r="N84" s="222"/>
      <x:c r="O84" s="222"/>
      <x:c r="P84" s="222"/>
      <x:c r="Q84" s="222"/>
      <x:c r="R84" s="222"/>
      <x:c r="S84" s="222"/>
      <x:c r="T84" s="222"/>
      <x:c r="U84" s="222"/>
      <x:c r="V84" s="222"/>
      <x:c r="W84" s="222"/>
      <x:c r="X84" s="222"/>
      <x:c r="Y84" s="222"/>
      <x:c r="Z84" s="222"/>
    </x:row>
    <x:row r="85" ht="24" customHeight="1">
      <x:c r="A85" s="216" t="str">
        <x:v>附加与质保</x:v>
      </x:c>
      <x:c r="B85" s="220" t="str">
        <x:v>城建附加沿用原测算模型，以BOM乘增值税率估算进项抵扣，增值税净额不低于0，再加消费税计算附加；质保按MSRP计提。</x:v>
      </x:c>
      <x:c r="C85"/>
      <x:c r="D85"/>
      <x:c r="E85"/>
      <x:c r="F85"/>
      <x:c r="G85"/>
      <x:c r="H85"/>
      <x:c r="I85"/>
      <x:c r="J85"/>
      <x:c r="K85"/>
      <x:c r="L85"/>
      <x:c r="M85" s="222"/>
      <x:c r="N85" s="222"/>
      <x:c r="O85" s="222"/>
      <x:c r="P85" s="222"/>
      <x:c r="Q85" s="222"/>
      <x:c r="R85" s="222"/>
      <x:c r="S85" s="222"/>
      <x:c r="T85" s="222"/>
      <x:c r="U85" s="222"/>
      <x:c r="V85" s="222"/>
      <x:c r="W85" s="222"/>
      <x:c r="X85" s="222"/>
      <x:c r="Y85" s="222"/>
      <x:c r="Z85" s="222"/>
    </x:row>
    <x:row r="86" ht="24" customHeight="1">
      <x:c r="A86" s="216" t="str">
        <x:v>参数与零值</x:v>
      </x:c>
      <x:c r="B86" s="220" t="str">
        <x:v>税率留空按0；保留科目标题与原顺序。新增明细填独立金额，暂不设置公式或自动比例联动。</x:v>
      </x:c>
      <x:c r="C86"/>
      <x:c r="D86"/>
      <x:c r="E86"/>
      <x:c r="F86"/>
      <x:c r="G86"/>
      <x:c r="H86"/>
      <x:c r="I86"/>
      <x:c r="J86"/>
      <x:c r="K86"/>
      <x:c r="L86"/>
      <x:c r="M86" s="222"/>
      <x:c r="N86" s="222"/>
      <x:c r="O86" s="222"/>
      <x:c r="P86" s="222"/>
      <x:c r="Q86" s="222"/>
      <x:c r="R86" s="222"/>
      <x:c r="S86" s="222"/>
      <x:c r="T86" s="222"/>
      <x:c r="U86" s="222"/>
      <x:c r="V86" s="222"/>
      <x:c r="W86" s="222"/>
      <x:c r="X86" s="222"/>
      <x:c r="Y86" s="222"/>
      <x:c r="Z86" s="222"/>
    </x:row>
    <x:row r="87" ht="24" customHeight="1">
      <x:c r="A87" s="216" t="str">
        <x:v>计算依据</x:v>
      </x:c>
      <x:c r="B87" s="220" t="str">
        <x:v>依据本模板的科目层级及《BC测算分析模板-线下.xlsx》已有计算关系；集团分摊沿用已确认的计入EBIT口径。</x:v>
      </x:c>
      <x:c r="C87"/>
      <x:c r="D87"/>
      <x:c r="E87"/>
      <x:c r="F87"/>
      <x:c r="G87"/>
      <x:c r="H87"/>
      <x:c r="I87"/>
      <x:c r="J87"/>
      <x:c r="K87"/>
      <x:c r="L87"/>
      <x:c r="M87" s="222"/>
      <x:c r="N87" s="222"/>
      <x:c r="O87" s="222"/>
      <x:c r="P87" s="222"/>
      <x:c r="Q87" s="222"/>
      <x:c r="R87" s="222"/>
      <x:c r="S87" s="222"/>
      <x:c r="T87" s="222"/>
      <x:c r="U87" s="222"/>
      <x:c r="V87" s="222"/>
      <x:c r="W87" s="222"/>
      <x:c r="X87" s="222"/>
      <x:c r="Y87" s="222"/>
      <x:c r="Z87" s="222"/>
    </x:row>
    <x:row r="88" ht="24" customHeight="1">
      <x:c r="A88"/>
      <x:c r="B88"/>
      <x:c r="C88"/>
      <x:c r="D88"/>
      <x:c r="E88"/>
      <x:c r="F88"/>
      <x:c r="G88"/>
      <x:c r="H88"/>
      <x:c r="I88"/>
      <x:c r="J88"/>
      <x:c r="K88"/>
      <x:c r="L88"/>
      <x:c r="M88"/>
      <x:c r="N88"/>
      <x:c r="O88"/>
      <x:c r="P88"/>
      <x:c r="Q88"/>
      <x:c r="R88"/>
      <x:c r="S88"/>
      <x:c r="T88"/>
      <x:c r="U88"/>
      <x:c r="V88"/>
      <x:c r="W88"/>
      <x:c r="X88"/>
      <x:c r="Y88"/>
      <x:c r="Z88"/>
    </x:row>
    <x:row r="89" ht="24" customHeight="1">
      <x:c r="A89"/>
      <x:c r="B89"/>
      <x:c r="C89"/>
      <x:c r="D89"/>
      <x:c r="E89"/>
      <x:c r="F89"/>
      <x:c r="G89"/>
      <x:c r="H89"/>
      <x:c r="I89"/>
      <x:c r="J89"/>
      <x:c r="K89"/>
      <x:c r="L89"/>
      <x:c r="M89"/>
      <x:c r="N89"/>
      <x:c r="O89"/>
      <x:c r="P89"/>
      <x:c r="Q89"/>
      <x:c r="R89"/>
      <x:c r="S89"/>
      <x:c r="T89"/>
      <x:c r="U89"/>
      <x:c r="V89"/>
      <x:c r="W89"/>
      <x:c r="X89"/>
      <x:c r="Y89"/>
      <x:c r="Z89"/>
    </x:row>
  </x:sheetData>
  <x:mergeCells>
    <x:mergeCell ref="B2:F2"/>
    <x:mergeCell ref="G2:K2"/>
    <x:mergeCell ref="L2:P2"/>
    <x:mergeCell ref="Q2:U2"/>
    <x:mergeCell ref="V2:Z2"/>
    <x:mergeCell ref="A2:A4"/>
    <x:mergeCell ref="B81:L81"/>
    <x:mergeCell ref="B86:L86"/>
    <x:mergeCell ref="B70:F70"/>
    <x:mergeCell ref="B80:L80"/>
    <x:mergeCell ref="B84:L84"/>
    <x:mergeCell ref="B85:L85"/>
    <x:mergeCell ref="B79:L79"/>
    <x:mergeCell ref="B87:L87"/>
    <x:mergeCell ref="B83:L83"/>
    <x:mergeCell ref="B82:L82"/>
  </x:mergeCells>
  <x:dataValidations count="8">
    <x:dataValidation type="decimal" operator="between" sqref="B73:Z73">
      <x:formula1>0</x:formula1>
      <x:formula2>1</x:formula2>
    </x:dataValidation>
    <x:dataValidation type="decimal" operator="between" sqref="B74:Z74">
      <x:formula1>0</x:formula1>
      <x:formula2>1</x:formula2>
    </x:dataValidation>
    <x:dataValidation type="decimal" operator="between" sqref="B75:Z75">
      <x:formula1>0</x:formula1>
      <x:formula2>1</x:formula2>
    </x:dataValidation>
    <x:dataValidation type="decimal" operator="between" sqref="B77:Z77">
      <x:formula1>0</x:formula1>
      <x:formula2>1</x:formula2>
    </x:dataValidation>
    <x:dataValidation type="decimal" operator="between" sqref="B78:Z78">
      <x:formula1>0</x:formula1>
      <x:formula2>1</x:formula2>
    </x:dataValidation>
    <x:dataValidation type="whole" operator="greaterThanOrEqual" sqref="B5:Z5">
      <x:formula1>0</x:formula1>
    </x:dataValidation>
    <x:dataValidation type="decimal" operator="greaterThanOrEqual" sqref="B7:Z7">
      <x:formula1>0</x:formula1>
    </x:dataValidation>
    <x:dataValidation type="decimal" operator="greaterThanOrEqual" sqref="B76:Z76">
      <x:formula1>0</x:formula1>
    </x:dataValidation>
  </x:dataValidations>
  <x:pageMargins left="0.7" right="0.7" top="0.75" bottom="0.75" header="0.3" footer="0.3"/>
</x:worksheet>
</file>